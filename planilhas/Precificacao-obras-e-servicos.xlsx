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usar" sheetId="1" state="visible" r:id="rId1"/>
    <sheet name="Orçamento" sheetId="2" state="visible" r:id="rId2"/>
    <sheet name="Parâmetros" sheetId="3" state="visible" r:id="rId3"/>
    <sheet name="Insumos" sheetId="4" state="visible" r:id="rId4"/>
    <sheet name="Composições" sheetId="5" state="visible" r:id="rId5"/>
    <sheet name="Serviços" sheetId="6" state="visible" r:id="rId6"/>
    <sheet name="Estimativa m²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;[Red]-&quot;R$&quot; #,##0.00;&quot;-&quot;"/>
    <numFmt numFmtId="165" formatCode="#,##0.000"/>
  </numFmts>
  <fonts count="13">
    <font>
      <name val="Calibri"/>
      <family val="2"/>
      <color theme="1"/>
      <sz val="11"/>
      <scheme val="minor"/>
    </font>
    <font>
      <name val="Arial"/>
      <b val="1"/>
      <color rgb="00172A4D"/>
      <sz val="16"/>
    </font>
    <font>
      <name val="Arial"/>
      <i val="1"/>
      <color rgb="00666666"/>
      <sz val="10"/>
    </font>
    <font>
      <name val="Arial"/>
      <b val="1"/>
      <color rgb="00172A4D"/>
      <sz val="11"/>
    </font>
    <font>
      <name val="Arial"/>
      <color rgb="00222222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72A4D"/>
      <sz val="12"/>
    </font>
    <font>
      <name val="Arial"/>
      <b val="1"/>
      <color rgb="00FFFFFF"/>
      <sz val="12"/>
    </font>
    <font>
      <name val="Arial"/>
      <b val="1"/>
      <color rgb="00172A4D"/>
      <sz val="10"/>
    </font>
    <font>
      <name val="Arial"/>
      <color rgb="00008000"/>
      <sz val="10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72A4D"/>
      </patternFill>
    </fill>
    <fill>
      <patternFill patternType="solid">
        <fgColor rgb="00E8EDF6"/>
      </patternFill>
    </fill>
    <fill>
      <patternFill patternType="solid">
        <fgColor rgb="00F08A2C"/>
      </patternFill>
    </fill>
    <fill>
      <patternFill patternType="solid">
        <fgColor rgb="00FDEB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pivotButton="0" quotePrefix="0" xfId="0"/>
    <xf numFmtId="0" fontId="8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7" fillId="0" borderId="1" pivotButton="0" quotePrefix="0" xfId="0"/>
    <xf numFmtId="4" fontId="5" fillId="2" borderId="1" pivotButton="0" quotePrefix="0" xfId="0"/>
    <xf numFmtId="164" fontId="7" fillId="0" borderId="1" pivotButton="0" quotePrefix="0" xfId="0"/>
    <xf numFmtId="164" fontId="8" fillId="0" borderId="1" pivotButton="0" quotePrefix="0" xfId="0"/>
    <xf numFmtId="0" fontId="11" fillId="6" borderId="0" pivotButton="0" quotePrefix="0" xfId="0"/>
    <xf numFmtId="0" fontId="0" fillId="6" borderId="0" pivotButton="0" quotePrefix="0" xfId="0"/>
    <xf numFmtId="164" fontId="5" fillId="2" borderId="1" pivotButton="0" quotePrefix="0" xfId="0"/>
    <xf numFmtId="0" fontId="8" fillId="4" borderId="1" pivotButton="0" quotePrefix="0" xfId="0"/>
    <xf numFmtId="164" fontId="8" fillId="4" borderId="1" pivotButton="0" quotePrefix="0" xfId="0"/>
    <xf numFmtId="10" fontId="8" fillId="4" borderId="1" pivotButton="0" quotePrefix="0" xfId="0"/>
    <xf numFmtId="0" fontId="10" fillId="5" borderId="1" pivotButton="0" quotePrefix="0" xfId="0"/>
    <xf numFmtId="164" fontId="10" fillId="5" borderId="1" pivotButton="0" quotePrefix="0" xfId="0"/>
    <xf numFmtId="0" fontId="2" fillId="0" borderId="1" pivotButton="0" quotePrefix="0" xfId="0"/>
    <xf numFmtId="0" fontId="8" fillId="0" borderId="1" pivotButton="0" quotePrefix="0" xfId="0"/>
    <xf numFmtId="1" fontId="5" fillId="2" borderId="1" pivotButton="0" quotePrefix="0" xfId="0"/>
    <xf numFmtId="10" fontId="5" fillId="2" borderId="1" pivotButton="0" quotePrefix="0" xfId="0"/>
    <xf numFmtId="0" fontId="9" fillId="0" borderId="0" pivotButton="0" quotePrefix="0" xfId="0"/>
    <xf numFmtId="10" fontId="10" fillId="5" borderId="1" pivotButton="0" quotePrefix="0" xfId="0"/>
    <xf numFmtId="0" fontId="11" fillId="6" borderId="1" pivotButton="0" quotePrefix="0" xfId="0"/>
    <xf numFmtId="164" fontId="12" fillId="0" borderId="1" pivotButton="0" quotePrefix="0" xfId="0"/>
    <xf numFmtId="165" fontId="5" fillId="2" borderId="1" pivotButton="0" quotePrefix="0" xfId="0"/>
    <xf numFmtId="164" fontId="11" fillId="0" borderId="1" pivotButton="0" quotePrefix="0" xfId="0"/>
    <xf numFmtId="2" fontId="7" fillId="0" borderId="1" pivotButton="0" quotePrefix="0" xfId="0"/>
    <xf numFmtId="10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Planilha</author>
  </authors>
  <commentList>
    <comment ref="B31" authorId="0" shapeId="0">
      <text>
        <t>Fórmula do Acórdão 2622/2013 do TCU. Obras de edificação costumam ficar entre ~20% e ~30%.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F08A2C"/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Planilha de precificação de obras e serviços</t>
        </is>
      </c>
    </row>
    <row r="3">
      <c r="B3" s="2" t="inlineStr">
        <is>
          <t>Rogério Vieira · Engenharia — calcule custo, BDI e preço de venda</t>
        </is>
      </c>
    </row>
    <row r="5">
      <c r="B5" s="3" t="inlineStr">
        <is>
          <t>COMO FUNCIONA</t>
        </is>
      </c>
    </row>
    <row r="6">
      <c r="B6" s="4" t="inlineStr">
        <is>
          <t>1. Parâmetros: confira as diárias da equipe, os encargos e os itens do BDI (lucro, administração, impostos…).</t>
        </is>
      </c>
    </row>
    <row r="7">
      <c r="B7" s="4" t="inlineStr">
        <is>
          <t>2. Insumos: atualize os preços dos materiais (os da cidade/do seu fornecedor). A mão de obra é calculada sozinha a partir das diárias.</t>
        </is>
      </c>
    </row>
    <row r="8">
      <c r="B8" s="5" t="inlineStr">
        <is>
          <t>3. Composições: mostra quanto cada serviço gasta de material e de horas por unidade (m², un…). Ajuste os coeficientes com a sua experiência.</t>
        </is>
      </c>
    </row>
    <row r="9">
      <c r="B9" s="4" t="inlineStr">
        <is>
          <t>4. Serviços: custo direto e preço de venda (com BDI) de cada serviço, calculados automaticamente.</t>
        </is>
      </c>
    </row>
    <row r="10">
      <c r="B10" s="4" t="inlineStr">
        <is>
          <t>5. Orçamento: escolha o serviço na lista, digite a quantidade e o preço final aparece. Use para montar o orçamento da obra.</t>
        </is>
      </c>
    </row>
    <row r="11">
      <c r="B11" s="4" t="inlineStr">
        <is>
          <t>6. Estimativa m²: conta rápida para construção e reforma pela área, antes do orçamento detalhado.</t>
        </is>
      </c>
    </row>
    <row r="12">
      <c r="B12" s="4" t="inlineStr"/>
    </row>
    <row r="13">
      <c r="B13" s="3" t="inlineStr">
        <is>
          <t>CORES</t>
        </is>
      </c>
    </row>
    <row r="14">
      <c r="B14" s="4" t="inlineStr">
        <is>
          <t>Texto AZUL com fundo AMARELO = campo para você preencher ou ajustar.</t>
        </is>
      </c>
    </row>
    <row r="15">
      <c r="B15" s="4" t="inlineStr">
        <is>
          <t>Texto preto = fórmula (calcula sozinho, não precisa mexer).</t>
        </is>
      </c>
    </row>
    <row r="16">
      <c r="B16" s="4" t="inlineStr"/>
    </row>
    <row r="17">
      <c r="B17" s="3" t="inlineStr">
        <is>
          <t>IMPORTANTE</t>
        </is>
      </c>
    </row>
    <row r="18">
      <c r="B18" s="4" t="inlineStr">
        <is>
          <t>Os preços e coeficientes que vêm preenchidos são EXEMPLOS de referência para começar — confira com os seus fornecedores e com a tabela SINAPI/CUB do mês antes de usar num orçamento real.</t>
        </is>
      </c>
    </row>
    <row r="19">
      <c r="B19" s="4" t="inlineStr">
        <is>
          <t>Para adicionar um serviço novo: copie as linhas de um serviço em "Composições", troque o código (ex.: S11) e cadastre o mesmo código na aba "Serviços".</t>
        </is>
      </c>
    </row>
    <row r="22">
      <c r="B22" s="6" t="inlineStr">
        <is>
          <t>Exemplo de campo para preencher: 180,00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08A2C"/>
    <outlinePr summaryBelow="1" summaryRight="1"/>
    <pageSetUpPr/>
  </sheetPr>
  <dimension ref="A1:I4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2" customWidth="1" min="3" max="3"/>
    <col width="8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Orçamento da obra</t>
        </is>
      </c>
    </row>
    <row r="2">
      <c r="A2" s="2" t="inlineStr">
        <is>
          <t>Escolha o código do serviço, digite a quantidade — o preço aparece sozinho</t>
        </is>
      </c>
    </row>
    <row r="3">
      <c r="A3" s="7" t="inlineStr">
        <is>
          <t>Obra / cliente:</t>
        </is>
      </c>
      <c r="C3" s="6" t="inlineStr">
        <is>
          <t>Ex.: Reforma E.E. Exemplo</t>
        </is>
      </c>
    </row>
    <row r="5" ht="30" customHeight="1">
      <c r="A5" s="8" t="inlineStr">
        <is>
          <t>Item</t>
        </is>
      </c>
      <c r="B5" s="8" t="inlineStr">
        <is>
          <t>Código</t>
        </is>
      </c>
      <c r="C5" s="8" t="inlineStr">
        <is>
          <t>Serviço</t>
        </is>
      </c>
      <c r="D5" s="8" t="inlineStr">
        <is>
          <t>Unid.</t>
        </is>
      </c>
      <c r="E5" s="8" t="inlineStr">
        <is>
          <t>Quantidade</t>
        </is>
      </c>
      <c r="F5" s="8" t="inlineStr">
        <is>
          <t>Custo unit. (R$)</t>
        </is>
      </c>
      <c r="G5" s="8" t="inlineStr">
        <is>
          <t>Custo total (R$)</t>
        </is>
      </c>
      <c r="H5" s="8" t="inlineStr">
        <is>
          <t>Preço unit. (R$)</t>
        </is>
      </c>
      <c r="I5" s="8" t="inlineStr">
        <is>
          <t>Preço total (R$)</t>
        </is>
      </c>
    </row>
    <row r="6">
      <c r="A6" s="9" t="n">
        <v>1</v>
      </c>
      <c r="B6" s="10" t="inlineStr">
        <is>
          <t>S02</t>
        </is>
      </c>
      <c r="C6" s="11">
        <f>IF(B6="","",IFERROR(INDEX('Serviços'!$B$5:$B$44,MATCH(B6,'Serviços'!$A$5:$A$44,0)),"código não encontrado"))</f>
        <v/>
      </c>
      <c r="D6" s="9">
        <f>IF(B6="","",IFERROR(INDEX('Serviços'!$C$5:$C$44,MATCH(B6,'Serviços'!$A$5:$A$44,0)),""))</f>
        <v/>
      </c>
      <c r="E6" s="12" t="n">
        <v>120</v>
      </c>
      <c r="F6" s="13">
        <f>IF(B6="",0,IFERROR(INDEX('Serviços'!$F$5:$F$44,MATCH(B6,'Serviços'!$A$5:$A$44,0)),0))</f>
        <v/>
      </c>
      <c r="G6" s="13">
        <f>E6*F6</f>
        <v/>
      </c>
      <c r="H6" s="13">
        <f>F6*(1+'Parâmetros'!$B$31)</f>
        <v/>
      </c>
      <c r="I6" s="14">
        <f>E6*H6</f>
        <v/>
      </c>
    </row>
    <row r="7">
      <c r="A7" s="9" t="n">
        <v>2</v>
      </c>
      <c r="B7" s="10" t="inlineStr">
        <is>
          <t>S03</t>
        </is>
      </c>
      <c r="C7" s="11">
        <f>IF(B7="","",IFERROR(INDEX('Serviços'!$B$5:$B$44,MATCH(B7,'Serviços'!$A$5:$A$44,0)),"código não encontrado"))</f>
        <v/>
      </c>
      <c r="D7" s="9">
        <f>IF(B7="","",IFERROR(INDEX('Serviços'!$C$5:$C$44,MATCH(B7,'Serviços'!$A$5:$A$44,0)),""))</f>
        <v/>
      </c>
      <c r="E7" s="12" t="n">
        <v>120</v>
      </c>
      <c r="F7" s="13">
        <f>IF(B7="",0,IFERROR(INDEX('Serviços'!$F$5:$F$44,MATCH(B7,'Serviços'!$A$5:$A$44,0)),0))</f>
        <v/>
      </c>
      <c r="G7" s="13">
        <f>E7*F7</f>
        <v/>
      </c>
      <c r="H7" s="13">
        <f>F7*(1+'Parâmetros'!$B$31)</f>
        <v/>
      </c>
      <c r="I7" s="14">
        <f>E7*H7</f>
        <v/>
      </c>
    </row>
    <row r="8">
      <c r="A8" s="9" t="n">
        <v>3</v>
      </c>
      <c r="B8" s="10" t="inlineStr">
        <is>
          <t>S06</t>
        </is>
      </c>
      <c r="C8" s="11">
        <f>IF(B8="","",IFERROR(INDEX('Serviços'!$B$5:$B$44,MATCH(B8,'Serviços'!$A$5:$A$44,0)),"código não encontrado"))</f>
        <v/>
      </c>
      <c r="D8" s="9">
        <f>IF(B8="","",IFERROR(INDEX('Serviços'!$C$5:$C$44,MATCH(B8,'Serviços'!$A$5:$A$44,0)),""))</f>
        <v/>
      </c>
      <c r="E8" s="12" t="n">
        <v>350</v>
      </c>
      <c r="F8" s="13">
        <f>IF(B8="",0,IFERROR(INDEX('Serviços'!$F$5:$F$44,MATCH(B8,'Serviços'!$A$5:$A$44,0)),0))</f>
        <v/>
      </c>
      <c r="G8" s="13">
        <f>E8*F8</f>
        <v/>
      </c>
      <c r="H8" s="13">
        <f>F8*(1+'Parâmetros'!$B$31)</f>
        <v/>
      </c>
      <c r="I8" s="14">
        <f>E8*H8</f>
        <v/>
      </c>
    </row>
    <row r="9">
      <c r="A9" s="9" t="n">
        <v>4</v>
      </c>
      <c r="B9" s="10" t="inlineStr">
        <is>
          <t>S07</t>
        </is>
      </c>
      <c r="C9" s="11">
        <f>IF(B9="","",IFERROR(INDEX('Serviços'!$B$5:$B$44,MATCH(B9,'Serviços'!$A$5:$A$44,0)),"código não encontrado"))</f>
        <v/>
      </c>
      <c r="D9" s="9">
        <f>IF(B9="","",IFERROR(INDEX('Serviços'!$C$5:$C$44,MATCH(B9,'Serviços'!$A$5:$A$44,0)),""))</f>
        <v/>
      </c>
      <c r="E9" s="12" t="n">
        <v>6</v>
      </c>
      <c r="F9" s="13">
        <f>IF(B9="",0,IFERROR(INDEX('Serviços'!$F$5:$F$44,MATCH(B9,'Serviços'!$A$5:$A$44,0)),0))</f>
        <v/>
      </c>
      <c r="G9" s="13">
        <f>E9*F9</f>
        <v/>
      </c>
      <c r="H9" s="13">
        <f>F9*(1+'Parâmetros'!$B$31)</f>
        <v/>
      </c>
      <c r="I9" s="14">
        <f>E9*H9</f>
        <v/>
      </c>
    </row>
    <row r="10">
      <c r="A10" s="9" t="n">
        <v>5</v>
      </c>
      <c r="B10" s="10" t="inlineStr">
        <is>
          <t>S08</t>
        </is>
      </c>
      <c r="C10" s="11">
        <f>IF(B10="","",IFERROR(INDEX('Serviços'!$B$5:$B$44,MATCH(B10,'Serviços'!$A$5:$A$44,0)),"código não encontrado"))</f>
        <v/>
      </c>
      <c r="D10" s="9">
        <f>IF(B10="","",IFERROR(INDEX('Serviços'!$C$5:$C$44,MATCH(B10,'Serviços'!$A$5:$A$44,0)),""))</f>
        <v/>
      </c>
      <c r="E10" s="12" t="n">
        <v>40</v>
      </c>
      <c r="F10" s="13">
        <f>IF(B10="",0,IFERROR(INDEX('Serviços'!$F$5:$F$44,MATCH(B10,'Serviços'!$A$5:$A$44,0)),0))</f>
        <v/>
      </c>
      <c r="G10" s="13">
        <f>E10*F10</f>
        <v/>
      </c>
      <c r="H10" s="13">
        <f>F10*(1+'Parâmetros'!$B$31)</f>
        <v/>
      </c>
      <c r="I10" s="14">
        <f>E10*H10</f>
        <v/>
      </c>
    </row>
    <row r="11">
      <c r="A11" s="9" t="n">
        <v>6</v>
      </c>
      <c r="B11" s="10" t="n"/>
      <c r="C11" s="11">
        <f>IF(B11="","",IFERROR(INDEX('Serviços'!$B$5:$B$44,MATCH(B11,'Serviços'!$A$5:$A$44,0)),"código não encontrado"))</f>
        <v/>
      </c>
      <c r="D11" s="9">
        <f>IF(B11="","",IFERROR(INDEX('Serviços'!$C$5:$C$44,MATCH(B11,'Serviços'!$A$5:$A$44,0)),""))</f>
        <v/>
      </c>
      <c r="E11" s="12" t="n"/>
      <c r="F11" s="13">
        <f>IF(B11="",0,IFERROR(INDEX('Serviços'!$F$5:$F$44,MATCH(B11,'Serviços'!$A$5:$A$44,0)),0))</f>
        <v/>
      </c>
      <c r="G11" s="13">
        <f>E11*F11</f>
        <v/>
      </c>
      <c r="H11" s="13">
        <f>F11*(1+'Parâmetros'!$B$31)</f>
        <v/>
      </c>
      <c r="I11" s="14">
        <f>E11*H11</f>
        <v/>
      </c>
    </row>
    <row r="12">
      <c r="A12" s="9" t="n">
        <v>7</v>
      </c>
      <c r="B12" s="10" t="n"/>
      <c r="C12" s="11">
        <f>IF(B12="","",IFERROR(INDEX('Serviços'!$B$5:$B$44,MATCH(B12,'Serviços'!$A$5:$A$44,0)),"código não encontrado"))</f>
        <v/>
      </c>
      <c r="D12" s="9">
        <f>IF(B12="","",IFERROR(INDEX('Serviços'!$C$5:$C$44,MATCH(B12,'Serviços'!$A$5:$A$44,0)),""))</f>
        <v/>
      </c>
      <c r="E12" s="12" t="n"/>
      <c r="F12" s="13">
        <f>IF(B12="",0,IFERROR(INDEX('Serviços'!$F$5:$F$44,MATCH(B12,'Serviços'!$A$5:$A$44,0)),0))</f>
        <v/>
      </c>
      <c r="G12" s="13">
        <f>E12*F12</f>
        <v/>
      </c>
      <c r="H12" s="13">
        <f>F12*(1+'Parâmetros'!$B$31)</f>
        <v/>
      </c>
      <c r="I12" s="14">
        <f>E12*H12</f>
        <v/>
      </c>
    </row>
    <row r="13">
      <c r="A13" s="9" t="n">
        <v>8</v>
      </c>
      <c r="B13" s="10" t="n"/>
      <c r="C13" s="11">
        <f>IF(B13="","",IFERROR(INDEX('Serviços'!$B$5:$B$44,MATCH(B13,'Serviços'!$A$5:$A$44,0)),"código não encontrado"))</f>
        <v/>
      </c>
      <c r="D13" s="9">
        <f>IF(B13="","",IFERROR(INDEX('Serviços'!$C$5:$C$44,MATCH(B13,'Serviços'!$A$5:$A$44,0)),""))</f>
        <v/>
      </c>
      <c r="E13" s="12" t="n"/>
      <c r="F13" s="13">
        <f>IF(B13="",0,IFERROR(INDEX('Serviços'!$F$5:$F$44,MATCH(B13,'Serviços'!$A$5:$A$44,0)),0))</f>
        <v/>
      </c>
      <c r="G13" s="13">
        <f>E13*F13</f>
        <v/>
      </c>
      <c r="H13" s="13">
        <f>F13*(1+'Parâmetros'!$B$31)</f>
        <v/>
      </c>
      <c r="I13" s="14">
        <f>E13*H13</f>
        <v/>
      </c>
    </row>
    <row r="14">
      <c r="A14" s="9" t="n">
        <v>9</v>
      </c>
      <c r="B14" s="10" t="n"/>
      <c r="C14" s="11">
        <f>IF(B14="","",IFERROR(INDEX('Serviços'!$B$5:$B$44,MATCH(B14,'Serviços'!$A$5:$A$44,0)),"código não encontrado"))</f>
        <v/>
      </c>
      <c r="D14" s="9">
        <f>IF(B14="","",IFERROR(INDEX('Serviços'!$C$5:$C$44,MATCH(B14,'Serviços'!$A$5:$A$44,0)),""))</f>
        <v/>
      </c>
      <c r="E14" s="12" t="n"/>
      <c r="F14" s="13">
        <f>IF(B14="",0,IFERROR(INDEX('Serviços'!$F$5:$F$44,MATCH(B14,'Serviços'!$A$5:$A$44,0)),0))</f>
        <v/>
      </c>
      <c r="G14" s="13">
        <f>E14*F14</f>
        <v/>
      </c>
      <c r="H14" s="13">
        <f>F14*(1+'Parâmetros'!$B$31)</f>
        <v/>
      </c>
      <c r="I14" s="14">
        <f>E14*H14</f>
        <v/>
      </c>
    </row>
    <row r="15">
      <c r="A15" s="9" t="n">
        <v>10</v>
      </c>
      <c r="B15" s="10" t="n"/>
      <c r="C15" s="11">
        <f>IF(B15="","",IFERROR(INDEX('Serviços'!$B$5:$B$44,MATCH(B15,'Serviços'!$A$5:$A$44,0)),"código não encontrado"))</f>
        <v/>
      </c>
      <c r="D15" s="9">
        <f>IF(B15="","",IFERROR(INDEX('Serviços'!$C$5:$C$44,MATCH(B15,'Serviços'!$A$5:$A$44,0)),""))</f>
        <v/>
      </c>
      <c r="E15" s="12" t="n"/>
      <c r="F15" s="13">
        <f>IF(B15="",0,IFERROR(INDEX('Serviços'!$F$5:$F$44,MATCH(B15,'Serviços'!$A$5:$A$44,0)),0))</f>
        <v/>
      </c>
      <c r="G15" s="13">
        <f>E15*F15</f>
        <v/>
      </c>
      <c r="H15" s="13">
        <f>F15*(1+'Parâmetros'!$B$31)</f>
        <v/>
      </c>
      <c r="I15" s="14">
        <f>E15*H15</f>
        <v/>
      </c>
    </row>
    <row r="16">
      <c r="A16" s="9" t="n">
        <v>11</v>
      </c>
      <c r="B16" s="10" t="n"/>
      <c r="C16" s="11">
        <f>IF(B16="","",IFERROR(INDEX('Serviços'!$B$5:$B$44,MATCH(B16,'Serviços'!$A$5:$A$44,0)),"código não encontrado"))</f>
        <v/>
      </c>
      <c r="D16" s="9">
        <f>IF(B16="","",IFERROR(INDEX('Serviços'!$C$5:$C$44,MATCH(B16,'Serviços'!$A$5:$A$44,0)),""))</f>
        <v/>
      </c>
      <c r="E16" s="12" t="n"/>
      <c r="F16" s="13">
        <f>IF(B16="",0,IFERROR(INDEX('Serviços'!$F$5:$F$44,MATCH(B16,'Serviços'!$A$5:$A$44,0)),0))</f>
        <v/>
      </c>
      <c r="G16" s="13">
        <f>E16*F16</f>
        <v/>
      </c>
      <c r="H16" s="13">
        <f>F16*(1+'Parâmetros'!$B$31)</f>
        <v/>
      </c>
      <c r="I16" s="14">
        <f>E16*H16</f>
        <v/>
      </c>
    </row>
    <row r="17">
      <c r="A17" s="9" t="n">
        <v>12</v>
      </c>
      <c r="B17" s="10" t="n"/>
      <c r="C17" s="11">
        <f>IF(B17="","",IFERROR(INDEX('Serviços'!$B$5:$B$44,MATCH(B17,'Serviços'!$A$5:$A$44,0)),"código não encontrado"))</f>
        <v/>
      </c>
      <c r="D17" s="9">
        <f>IF(B17="","",IFERROR(INDEX('Serviços'!$C$5:$C$44,MATCH(B17,'Serviços'!$A$5:$A$44,0)),""))</f>
        <v/>
      </c>
      <c r="E17" s="12" t="n"/>
      <c r="F17" s="13">
        <f>IF(B17="",0,IFERROR(INDEX('Serviços'!$F$5:$F$44,MATCH(B17,'Serviços'!$A$5:$A$44,0)),0))</f>
        <v/>
      </c>
      <c r="G17" s="13">
        <f>E17*F17</f>
        <v/>
      </c>
      <c r="H17" s="13">
        <f>F17*(1+'Parâmetros'!$B$31)</f>
        <v/>
      </c>
      <c r="I17" s="14">
        <f>E17*H17</f>
        <v/>
      </c>
    </row>
    <row r="18">
      <c r="A18" s="9" t="n">
        <v>13</v>
      </c>
      <c r="B18" s="10" t="n"/>
      <c r="C18" s="11">
        <f>IF(B18="","",IFERROR(INDEX('Serviços'!$B$5:$B$44,MATCH(B18,'Serviços'!$A$5:$A$44,0)),"código não encontrado"))</f>
        <v/>
      </c>
      <c r="D18" s="9">
        <f>IF(B18="","",IFERROR(INDEX('Serviços'!$C$5:$C$44,MATCH(B18,'Serviços'!$A$5:$A$44,0)),""))</f>
        <v/>
      </c>
      <c r="E18" s="12" t="n"/>
      <c r="F18" s="13">
        <f>IF(B18="",0,IFERROR(INDEX('Serviços'!$F$5:$F$44,MATCH(B18,'Serviços'!$A$5:$A$44,0)),0))</f>
        <v/>
      </c>
      <c r="G18" s="13">
        <f>E18*F18</f>
        <v/>
      </c>
      <c r="H18" s="13">
        <f>F18*(1+'Parâmetros'!$B$31)</f>
        <v/>
      </c>
      <c r="I18" s="14">
        <f>E18*H18</f>
        <v/>
      </c>
    </row>
    <row r="19">
      <c r="A19" s="9" t="n">
        <v>14</v>
      </c>
      <c r="B19" s="10" t="n"/>
      <c r="C19" s="11">
        <f>IF(B19="","",IFERROR(INDEX('Serviços'!$B$5:$B$44,MATCH(B19,'Serviços'!$A$5:$A$44,0)),"código não encontrado"))</f>
        <v/>
      </c>
      <c r="D19" s="9">
        <f>IF(B19="","",IFERROR(INDEX('Serviços'!$C$5:$C$44,MATCH(B19,'Serviços'!$A$5:$A$44,0)),""))</f>
        <v/>
      </c>
      <c r="E19" s="12" t="n"/>
      <c r="F19" s="13">
        <f>IF(B19="",0,IFERROR(INDEX('Serviços'!$F$5:$F$44,MATCH(B19,'Serviços'!$A$5:$A$44,0)),0))</f>
        <v/>
      </c>
      <c r="G19" s="13">
        <f>E19*F19</f>
        <v/>
      </c>
      <c r="H19" s="13">
        <f>F19*(1+'Parâmetros'!$B$31)</f>
        <v/>
      </c>
      <c r="I19" s="14">
        <f>E19*H19</f>
        <v/>
      </c>
    </row>
    <row r="20">
      <c r="A20" s="9" t="n">
        <v>15</v>
      </c>
      <c r="B20" s="10" t="n"/>
      <c r="C20" s="11">
        <f>IF(B20="","",IFERROR(INDEX('Serviços'!$B$5:$B$44,MATCH(B20,'Serviços'!$A$5:$A$44,0)),"código não encontrado"))</f>
        <v/>
      </c>
      <c r="D20" s="9">
        <f>IF(B20="","",IFERROR(INDEX('Serviços'!$C$5:$C$44,MATCH(B20,'Serviços'!$A$5:$A$44,0)),""))</f>
        <v/>
      </c>
      <c r="E20" s="12" t="n"/>
      <c r="F20" s="13">
        <f>IF(B20="",0,IFERROR(INDEX('Serviços'!$F$5:$F$44,MATCH(B20,'Serviços'!$A$5:$A$44,0)),0))</f>
        <v/>
      </c>
      <c r="G20" s="13">
        <f>E20*F20</f>
        <v/>
      </c>
      <c r="H20" s="13">
        <f>F20*(1+'Parâmetros'!$B$31)</f>
        <v/>
      </c>
      <c r="I20" s="14">
        <f>E20*H20</f>
        <v/>
      </c>
    </row>
    <row r="21">
      <c r="A21" s="9" t="n">
        <v>16</v>
      </c>
      <c r="B21" s="10" t="n"/>
      <c r="C21" s="11">
        <f>IF(B21="","",IFERROR(INDEX('Serviços'!$B$5:$B$44,MATCH(B21,'Serviços'!$A$5:$A$44,0)),"código não encontrado"))</f>
        <v/>
      </c>
      <c r="D21" s="9">
        <f>IF(B21="","",IFERROR(INDEX('Serviços'!$C$5:$C$44,MATCH(B21,'Serviços'!$A$5:$A$44,0)),""))</f>
        <v/>
      </c>
      <c r="E21" s="12" t="n"/>
      <c r="F21" s="13">
        <f>IF(B21="",0,IFERROR(INDEX('Serviços'!$F$5:$F$44,MATCH(B21,'Serviços'!$A$5:$A$44,0)),0))</f>
        <v/>
      </c>
      <c r="G21" s="13">
        <f>E21*F21</f>
        <v/>
      </c>
      <c r="H21" s="13">
        <f>F21*(1+'Parâmetros'!$B$31)</f>
        <v/>
      </c>
      <c r="I21" s="14">
        <f>E21*H21</f>
        <v/>
      </c>
    </row>
    <row r="22">
      <c r="A22" s="9" t="n">
        <v>17</v>
      </c>
      <c r="B22" s="10" t="n"/>
      <c r="C22" s="11">
        <f>IF(B22="","",IFERROR(INDEX('Serviços'!$B$5:$B$44,MATCH(B22,'Serviços'!$A$5:$A$44,0)),"código não encontrado"))</f>
        <v/>
      </c>
      <c r="D22" s="9">
        <f>IF(B22="","",IFERROR(INDEX('Serviços'!$C$5:$C$44,MATCH(B22,'Serviços'!$A$5:$A$44,0)),""))</f>
        <v/>
      </c>
      <c r="E22" s="12" t="n"/>
      <c r="F22" s="13">
        <f>IF(B22="",0,IFERROR(INDEX('Serviços'!$F$5:$F$44,MATCH(B22,'Serviços'!$A$5:$A$44,0)),0))</f>
        <v/>
      </c>
      <c r="G22" s="13">
        <f>E22*F22</f>
        <v/>
      </c>
      <c r="H22" s="13">
        <f>F22*(1+'Parâmetros'!$B$31)</f>
        <v/>
      </c>
      <c r="I22" s="14">
        <f>E22*H22</f>
        <v/>
      </c>
    </row>
    <row r="23">
      <c r="A23" s="9" t="n">
        <v>18</v>
      </c>
      <c r="B23" s="10" t="n"/>
      <c r="C23" s="11">
        <f>IF(B23="","",IFERROR(INDEX('Serviços'!$B$5:$B$44,MATCH(B23,'Serviços'!$A$5:$A$44,0)),"código não encontrado"))</f>
        <v/>
      </c>
      <c r="D23" s="9">
        <f>IF(B23="","",IFERROR(INDEX('Serviços'!$C$5:$C$44,MATCH(B23,'Serviços'!$A$5:$A$44,0)),""))</f>
        <v/>
      </c>
      <c r="E23" s="12" t="n"/>
      <c r="F23" s="13">
        <f>IF(B23="",0,IFERROR(INDEX('Serviços'!$F$5:$F$44,MATCH(B23,'Serviços'!$A$5:$A$44,0)),0))</f>
        <v/>
      </c>
      <c r="G23" s="13">
        <f>E23*F23</f>
        <v/>
      </c>
      <c r="H23" s="13">
        <f>F23*(1+'Parâmetros'!$B$31)</f>
        <v/>
      </c>
      <c r="I23" s="14">
        <f>E23*H23</f>
        <v/>
      </c>
    </row>
    <row r="24">
      <c r="A24" s="9" t="n">
        <v>19</v>
      </c>
      <c r="B24" s="10" t="n"/>
      <c r="C24" s="11">
        <f>IF(B24="","",IFERROR(INDEX('Serviços'!$B$5:$B$44,MATCH(B24,'Serviços'!$A$5:$A$44,0)),"código não encontrado"))</f>
        <v/>
      </c>
      <c r="D24" s="9">
        <f>IF(B24="","",IFERROR(INDEX('Serviços'!$C$5:$C$44,MATCH(B24,'Serviços'!$A$5:$A$44,0)),""))</f>
        <v/>
      </c>
      <c r="E24" s="12" t="n"/>
      <c r="F24" s="13">
        <f>IF(B24="",0,IFERROR(INDEX('Serviços'!$F$5:$F$44,MATCH(B24,'Serviços'!$A$5:$A$44,0)),0))</f>
        <v/>
      </c>
      <c r="G24" s="13">
        <f>E24*F24</f>
        <v/>
      </c>
      <c r="H24" s="13">
        <f>F24*(1+'Parâmetros'!$B$31)</f>
        <v/>
      </c>
      <c r="I24" s="14">
        <f>E24*H24</f>
        <v/>
      </c>
    </row>
    <row r="25">
      <c r="A25" s="9" t="n">
        <v>20</v>
      </c>
      <c r="B25" s="10" t="n"/>
      <c r="C25" s="11">
        <f>IF(B25="","",IFERROR(INDEX('Serviços'!$B$5:$B$44,MATCH(B25,'Serviços'!$A$5:$A$44,0)),"código não encontrado"))</f>
        <v/>
      </c>
      <c r="D25" s="9">
        <f>IF(B25="","",IFERROR(INDEX('Serviços'!$C$5:$C$44,MATCH(B25,'Serviços'!$A$5:$A$44,0)),""))</f>
        <v/>
      </c>
      <c r="E25" s="12" t="n"/>
      <c r="F25" s="13">
        <f>IF(B25="",0,IFERROR(INDEX('Serviços'!$F$5:$F$44,MATCH(B25,'Serviços'!$A$5:$A$44,0)),0))</f>
        <v/>
      </c>
      <c r="G25" s="13">
        <f>E25*F25</f>
        <v/>
      </c>
      <c r="H25" s="13">
        <f>F25*(1+'Parâmetros'!$B$31)</f>
        <v/>
      </c>
      <c r="I25" s="14">
        <f>E25*H25</f>
        <v/>
      </c>
    </row>
    <row r="26">
      <c r="A26" s="9" t="n">
        <v>21</v>
      </c>
      <c r="B26" s="10" t="n"/>
      <c r="C26" s="11">
        <f>IF(B26="","",IFERROR(INDEX('Serviços'!$B$5:$B$44,MATCH(B26,'Serviços'!$A$5:$A$44,0)),"código não encontrado"))</f>
        <v/>
      </c>
      <c r="D26" s="9">
        <f>IF(B26="","",IFERROR(INDEX('Serviços'!$C$5:$C$44,MATCH(B26,'Serviços'!$A$5:$A$44,0)),""))</f>
        <v/>
      </c>
      <c r="E26" s="12" t="n"/>
      <c r="F26" s="13">
        <f>IF(B26="",0,IFERROR(INDEX('Serviços'!$F$5:$F$44,MATCH(B26,'Serviços'!$A$5:$A$44,0)),0))</f>
        <v/>
      </c>
      <c r="G26" s="13">
        <f>E26*F26</f>
        <v/>
      </c>
      <c r="H26" s="13">
        <f>F26*(1+'Parâmetros'!$B$31)</f>
        <v/>
      </c>
      <c r="I26" s="14">
        <f>E26*H26</f>
        <v/>
      </c>
    </row>
    <row r="27">
      <c r="A27" s="9" t="n">
        <v>22</v>
      </c>
      <c r="B27" s="10" t="n"/>
      <c r="C27" s="11">
        <f>IF(B27="","",IFERROR(INDEX('Serviços'!$B$5:$B$44,MATCH(B27,'Serviços'!$A$5:$A$44,0)),"código não encontrado"))</f>
        <v/>
      </c>
      <c r="D27" s="9">
        <f>IF(B27="","",IFERROR(INDEX('Serviços'!$C$5:$C$44,MATCH(B27,'Serviços'!$A$5:$A$44,0)),""))</f>
        <v/>
      </c>
      <c r="E27" s="12" t="n"/>
      <c r="F27" s="13">
        <f>IF(B27="",0,IFERROR(INDEX('Serviços'!$F$5:$F$44,MATCH(B27,'Serviços'!$A$5:$A$44,0)),0))</f>
        <v/>
      </c>
      <c r="G27" s="13">
        <f>E27*F27</f>
        <v/>
      </c>
      <c r="H27" s="13">
        <f>F27*(1+'Parâmetros'!$B$31)</f>
        <v/>
      </c>
      <c r="I27" s="14">
        <f>E27*H27</f>
        <v/>
      </c>
    </row>
    <row r="28">
      <c r="A28" s="9" t="n">
        <v>23</v>
      </c>
      <c r="B28" s="10" t="n"/>
      <c r="C28" s="11">
        <f>IF(B28="","",IFERROR(INDEX('Serviços'!$B$5:$B$44,MATCH(B28,'Serviços'!$A$5:$A$44,0)),"código não encontrado"))</f>
        <v/>
      </c>
      <c r="D28" s="9">
        <f>IF(B28="","",IFERROR(INDEX('Serviços'!$C$5:$C$44,MATCH(B28,'Serviços'!$A$5:$A$44,0)),""))</f>
        <v/>
      </c>
      <c r="E28" s="12" t="n"/>
      <c r="F28" s="13">
        <f>IF(B28="",0,IFERROR(INDEX('Serviços'!$F$5:$F$44,MATCH(B28,'Serviços'!$A$5:$A$44,0)),0))</f>
        <v/>
      </c>
      <c r="G28" s="13">
        <f>E28*F28</f>
        <v/>
      </c>
      <c r="H28" s="13">
        <f>F28*(1+'Parâmetros'!$B$31)</f>
        <v/>
      </c>
      <c r="I28" s="14">
        <f>E28*H28</f>
        <v/>
      </c>
    </row>
    <row r="29">
      <c r="A29" s="9" t="n">
        <v>24</v>
      </c>
      <c r="B29" s="10" t="n"/>
      <c r="C29" s="11">
        <f>IF(B29="","",IFERROR(INDEX('Serviços'!$B$5:$B$44,MATCH(B29,'Serviços'!$A$5:$A$44,0)),"código não encontrado"))</f>
        <v/>
      </c>
      <c r="D29" s="9">
        <f>IF(B29="","",IFERROR(INDEX('Serviços'!$C$5:$C$44,MATCH(B29,'Serviços'!$A$5:$A$44,0)),""))</f>
        <v/>
      </c>
      <c r="E29" s="12" t="n"/>
      <c r="F29" s="13">
        <f>IF(B29="",0,IFERROR(INDEX('Serviços'!$F$5:$F$44,MATCH(B29,'Serviços'!$A$5:$A$44,0)),0))</f>
        <v/>
      </c>
      <c r="G29" s="13">
        <f>E29*F29</f>
        <v/>
      </c>
      <c r="H29" s="13">
        <f>F29*(1+'Parâmetros'!$B$31)</f>
        <v/>
      </c>
      <c r="I29" s="14">
        <f>E29*H29</f>
        <v/>
      </c>
    </row>
    <row r="30">
      <c r="A30" s="9" t="n">
        <v>25</v>
      </c>
      <c r="B30" s="10" t="n"/>
      <c r="C30" s="11">
        <f>IF(B30="","",IFERROR(INDEX('Serviços'!$B$5:$B$44,MATCH(B30,'Serviços'!$A$5:$A$44,0)),"código não encontrado"))</f>
        <v/>
      </c>
      <c r="D30" s="9">
        <f>IF(B30="","",IFERROR(INDEX('Serviços'!$C$5:$C$44,MATCH(B30,'Serviços'!$A$5:$A$44,0)),""))</f>
        <v/>
      </c>
      <c r="E30" s="12" t="n"/>
      <c r="F30" s="13">
        <f>IF(B30="",0,IFERROR(INDEX('Serviços'!$F$5:$F$44,MATCH(B30,'Serviços'!$A$5:$A$44,0)),0))</f>
        <v/>
      </c>
      <c r="G30" s="13">
        <f>E30*F30</f>
        <v/>
      </c>
      <c r="H30" s="13">
        <f>F30*(1+'Parâmetros'!$B$31)</f>
        <v/>
      </c>
      <c r="I30" s="14">
        <f>E30*H30</f>
        <v/>
      </c>
    </row>
    <row r="32">
      <c r="A32" s="15" t="inlineStr">
        <is>
          <t>Custos extras da obra (valor fechado)</t>
        </is>
      </c>
      <c r="B32" s="16" t="n"/>
      <c r="C32" s="16" t="n"/>
      <c r="D32" s="16" t="n"/>
      <c r="E32" s="16" t="n"/>
      <c r="F32" s="16" t="n"/>
      <c r="G32" s="16" t="n"/>
      <c r="H32" s="16" t="n"/>
      <c r="I32" s="16" t="n"/>
    </row>
    <row r="33">
      <c r="C33" s="11" t="inlineStr">
        <is>
          <t>Mobilização / desmobilização</t>
        </is>
      </c>
      <c r="G33" s="17" t="n">
        <v>800</v>
      </c>
      <c r="I33" s="14">
        <f>G33*(1+'Parâmetros'!$B$31)</f>
        <v/>
      </c>
    </row>
    <row r="34">
      <c r="C34" s="11" t="inlineStr">
        <is>
          <t>Caçamba de entulho</t>
        </is>
      </c>
      <c r="G34" s="17" t="n">
        <v>1400</v>
      </c>
      <c r="I34" s="14">
        <f>G34*(1+'Parâmetros'!$B$31)</f>
        <v/>
      </c>
    </row>
    <row r="35">
      <c r="C35" s="11" t="inlineStr">
        <is>
          <t>ART / taxas</t>
        </is>
      </c>
      <c r="G35" s="17" t="n">
        <v>300</v>
      </c>
      <c r="I35" s="14">
        <f>G35*(1+'Parâmetros'!$B$31)</f>
        <v/>
      </c>
    </row>
    <row r="36">
      <c r="C36" s="11" t="inlineStr">
        <is>
          <t>Limpeza final</t>
        </is>
      </c>
      <c r="G36" s="17" t="n">
        <v>500</v>
      </c>
      <c r="I36" s="14">
        <f>G36*(1+'Parâmetros'!$B$31)</f>
        <v/>
      </c>
    </row>
    <row r="37">
      <c r="C37" s="11" t="inlineStr">
        <is>
          <t>Outros</t>
        </is>
      </c>
      <c r="G37" s="17" t="n">
        <v>0</v>
      </c>
      <c r="I37" s="14">
        <f>G37*(1+'Parâmetros'!$B$31)</f>
        <v/>
      </c>
    </row>
    <row r="39">
      <c r="C39" s="18" t="inlineStr">
        <is>
          <t>Custo direto total</t>
        </is>
      </c>
      <c r="G39" s="19">
        <f>SUM(G6:G30)+SUM(G33:G37)</f>
        <v/>
      </c>
    </row>
    <row r="40">
      <c r="C40" s="18" t="inlineStr">
        <is>
          <t>BDI aplicado</t>
        </is>
      </c>
      <c r="G40" s="20">
        <f>'Parâmetros'!$B$31</f>
        <v/>
      </c>
    </row>
    <row r="41">
      <c r="C41" s="18" t="inlineStr">
        <is>
          <t>Valor do BDI</t>
        </is>
      </c>
      <c r="G41" s="19">
        <f>I42-G39</f>
        <v/>
      </c>
    </row>
    <row r="42">
      <c r="C42" s="21" t="inlineStr">
        <is>
          <t>PREÇO DE VENDA</t>
        </is>
      </c>
      <c r="I42" s="22">
        <f>SUM(I6:I30)+SUM(I33:I37)</f>
        <v/>
      </c>
    </row>
    <row r="43">
      <c r="C43" s="18" t="inlineStr">
        <is>
          <t>Lucro estimado (parcela de lucro do BDI)</t>
        </is>
      </c>
      <c r="G43" s="19">
        <f>G39*(1+'Parâmetros'!$B$20+'Parâmetros'!$B$21+'Parâmetros'!$B$22)*(1+'Parâmetros'!$B$23)*'Parâmetros'!$B$24</f>
        <v/>
      </c>
    </row>
    <row r="44">
      <c r="C44" s="18" t="inlineStr">
        <is>
          <t>Margem de lucro sobre o preço</t>
        </is>
      </c>
      <c r="G44" s="20">
        <f>IF(I42=0,0,G43/I42)</f>
        <v/>
      </c>
    </row>
  </sheetData>
  <mergeCells count="6">
    <mergeCell ref="C40:F40"/>
    <mergeCell ref="C39:F39"/>
    <mergeCell ref="C43:F43"/>
    <mergeCell ref="C41:F41"/>
    <mergeCell ref="C42:F42"/>
    <mergeCell ref="C44:F44"/>
  </mergeCells>
  <dataValidations count="1">
    <dataValidation sqref="B6:B30" showDropDown="0" showInputMessage="0" showErrorMessage="0" allowBlank="1" type="list">
      <formula1>='Serviços'!$A$5:$A$14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72A4D"/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60" customWidth="1" min="3" max="3"/>
  </cols>
  <sheetData>
    <row r="1">
      <c r="A1" s="1" t="inlineStr">
        <is>
          <t>Parâmetros</t>
        </is>
      </c>
    </row>
    <row r="2">
      <c r="A2" s="2" t="inlineStr">
        <is>
          <t>Diárias da equipe, encargos e BDI (fórmula do TCU)</t>
        </is>
      </c>
    </row>
    <row r="4" ht="30" customHeight="1">
      <c r="A4" s="8" t="inlineStr">
        <is>
          <t>Mão de obra</t>
        </is>
      </c>
      <c r="B4" s="8" t="inlineStr">
        <is>
          <t>Diária (R$)</t>
        </is>
      </c>
      <c r="C4" s="8" t="inlineStr">
        <is>
          <t>Observação</t>
        </is>
      </c>
    </row>
    <row r="5">
      <c r="A5" s="11" t="inlineStr">
        <is>
          <t>Pedreiro</t>
        </is>
      </c>
      <c r="B5" s="17" t="n">
        <v>180</v>
      </c>
      <c r="C5" s="23" t="inlineStr">
        <is>
          <t>valor da diária paga (exemplo)</t>
        </is>
      </c>
    </row>
    <row r="6">
      <c r="A6" s="11" t="inlineStr">
        <is>
          <t>Servente</t>
        </is>
      </c>
      <c r="B6" s="17" t="n">
        <v>120</v>
      </c>
      <c r="C6" s="23" t="inlineStr">
        <is>
          <t>valor da diária paga (exemplo)</t>
        </is>
      </c>
    </row>
    <row r="7">
      <c r="A7" s="11" t="inlineStr">
        <is>
          <t>Eletricista</t>
        </is>
      </c>
      <c r="B7" s="17" t="n">
        <v>220</v>
      </c>
      <c r="C7" s="23" t="inlineStr">
        <is>
          <t>valor da diária paga (exemplo)</t>
        </is>
      </c>
    </row>
    <row r="8">
      <c r="A8" s="11" t="inlineStr">
        <is>
          <t>Encanador</t>
        </is>
      </c>
      <c r="B8" s="17" t="n">
        <v>200</v>
      </c>
      <c r="C8" s="23" t="inlineStr">
        <is>
          <t>valor da diária paga (exemplo)</t>
        </is>
      </c>
    </row>
    <row r="9">
      <c r="A9" s="11" t="inlineStr">
        <is>
          <t>Pintor</t>
        </is>
      </c>
      <c r="B9" s="17" t="n">
        <v>180</v>
      </c>
      <c r="C9" s="23" t="inlineStr">
        <is>
          <t>valor da diária paga (exemplo)</t>
        </is>
      </c>
    </row>
    <row r="10">
      <c r="A10" s="11" t="inlineStr">
        <is>
          <t>Carpinteiro</t>
        </is>
      </c>
      <c r="B10" s="17" t="n">
        <v>200</v>
      </c>
      <c r="C10" s="23" t="inlineStr">
        <is>
          <t>valor da diária paga (exemplo)</t>
        </is>
      </c>
    </row>
    <row r="11">
      <c r="A11" s="11" t="inlineStr">
        <is>
          <t>Azulejista</t>
        </is>
      </c>
      <c r="B11" s="17" t="n">
        <v>200</v>
      </c>
      <c r="C11" s="23" t="inlineStr">
        <is>
          <t>valor da diária paga (exemplo)</t>
        </is>
      </c>
    </row>
    <row r="12">
      <c r="A12" s="11" t="inlineStr">
        <is>
          <t>Vidraceiro</t>
        </is>
      </c>
      <c r="B12" s="17" t="n">
        <v>200</v>
      </c>
      <c r="C12" s="23" t="inlineStr">
        <is>
          <t>valor da diária paga (exemplo)</t>
        </is>
      </c>
    </row>
    <row r="13">
      <c r="A13" s="11" t="inlineStr">
        <is>
          <t>Mestre de obras</t>
        </is>
      </c>
      <c r="B13" s="17" t="n">
        <v>250</v>
      </c>
      <c r="C13" s="23" t="inlineStr">
        <is>
          <t>valor da diária paga (exemplo)</t>
        </is>
      </c>
    </row>
    <row r="15">
      <c r="A15" s="24" t="inlineStr">
        <is>
          <t>Horas trabalhadas por dia</t>
        </is>
      </c>
      <c r="B15" s="25" t="n">
        <v>8</v>
      </c>
      <c r="C15" s="23" t="inlineStr">
        <is>
          <t>jornada usada para achar o custo da hora</t>
        </is>
      </c>
    </row>
    <row r="16">
      <c r="A16" s="24" t="inlineStr">
        <is>
          <t>Encargos sobre a mão de obra (%)</t>
        </is>
      </c>
      <c r="B16" s="26" t="n">
        <v>0.2</v>
      </c>
      <c r="C16" s="23" t="inlineStr">
        <is>
          <t>EPI, alimentação, transporte, encargos; diarista puro ≈ 10–25%, CLT ≈ 70–120%</t>
        </is>
      </c>
    </row>
    <row r="18">
      <c r="A18" s="27" t="inlineStr">
        <is>
          <t>BDI — Benefícios e Despesas Indiretas</t>
        </is>
      </c>
    </row>
    <row r="19" ht="30" customHeight="1">
      <c r="A19" s="8" t="inlineStr">
        <is>
          <t>Item do BDI</t>
        </is>
      </c>
      <c r="B19" s="8" t="inlineStr">
        <is>
          <t>%</t>
        </is>
      </c>
      <c r="C19" s="8" t="inlineStr">
        <is>
          <t>Referência</t>
        </is>
      </c>
    </row>
    <row r="20">
      <c r="A20" s="11" t="inlineStr">
        <is>
          <t>Administração central (AC)</t>
        </is>
      </c>
      <c r="B20" s="26" t="n">
        <v>0.04</v>
      </c>
      <c r="C20" s="23" t="inlineStr">
        <is>
          <t>custos do escritório, contador, veículo… (TCU: 3% a 5,5%)</t>
        </is>
      </c>
    </row>
    <row r="21">
      <c r="A21" s="11" t="inlineStr">
        <is>
          <t>Seguro + garantia (S+G)</t>
        </is>
      </c>
      <c r="B21" s="26" t="n">
        <v>0.008</v>
      </c>
      <c r="C21" s="23" t="inlineStr">
        <is>
          <t>TCU: 0,8% a 1%</t>
        </is>
      </c>
    </row>
    <row r="22">
      <c r="A22" s="11" t="inlineStr">
        <is>
          <t>Risco (R)</t>
        </is>
      </c>
      <c r="B22" s="26" t="n">
        <v>0.0127</v>
      </c>
      <c r="C22" s="23" t="inlineStr">
        <is>
          <t>imprevistos (TCU: 0,97% a 1,27%)</t>
        </is>
      </c>
    </row>
    <row r="23">
      <c r="A23" s="11" t="inlineStr">
        <is>
          <t>Despesas financeiras (DF)</t>
        </is>
      </c>
      <c r="B23" s="26" t="n">
        <v>0.0123</v>
      </c>
      <c r="C23" s="23" t="inlineStr">
        <is>
          <t>custo de esperar o pagamento (TCU: 0,59% a 1,39%)</t>
        </is>
      </c>
    </row>
    <row r="24">
      <c r="A24" s="11" t="inlineStr">
        <is>
          <t>Lucro (L)</t>
        </is>
      </c>
      <c r="B24" s="26" t="n">
        <v>0.074</v>
      </c>
      <c r="C24" s="23" t="inlineStr">
        <is>
          <t>seu lucro (TCU: 6,16% a 8,96%)</t>
        </is>
      </c>
    </row>
    <row r="25">
      <c r="A25" s="11" t="inlineStr">
        <is>
          <t>Impostos — PIS</t>
        </is>
      </c>
      <c r="B25" s="26" t="n">
        <v>0.0065</v>
      </c>
      <c r="C25" s="23" t="inlineStr">
        <is>
          <t>ajuste conforme o regime da empresa</t>
        </is>
      </c>
    </row>
    <row r="26">
      <c r="A26" s="11" t="inlineStr">
        <is>
          <t>Impostos — COFINS</t>
        </is>
      </c>
      <c r="B26" s="26" t="n">
        <v>0.03</v>
      </c>
      <c r="C26" s="23" t="inlineStr">
        <is>
          <t>ajuste conforme o regime da empresa</t>
        </is>
      </c>
    </row>
    <row r="27">
      <c r="A27" s="11" t="inlineStr">
        <is>
          <t>Impostos — ISS</t>
        </is>
      </c>
      <c r="B27" s="26" t="n">
        <v>0.02</v>
      </c>
      <c r="C27" s="23" t="inlineStr">
        <is>
          <t>Santo André: confira a alíquota do serviço</t>
        </is>
      </c>
    </row>
    <row r="28">
      <c r="A28" s="11" t="inlineStr">
        <is>
          <t>Impostos — CPRB / outros</t>
        </is>
      </c>
      <c r="B28" s="26" t="n">
        <v>0</v>
      </c>
      <c r="C28" s="23" t="inlineStr">
        <is>
          <t>use se a empresa pagar (ex.: 4,5%); no Simples, coloque a alíquota efetiva aqui e zere PIS/COFINS/ISS</t>
        </is>
      </c>
    </row>
    <row r="30">
      <c r="A30" s="18" t="inlineStr">
        <is>
          <t>Total de impostos (I)</t>
        </is>
      </c>
      <c r="B30" s="20">
        <f>SUM(B25:B28)</f>
        <v/>
      </c>
      <c r="C30" s="23" t="inlineStr">
        <is>
          <t>soma dos impostos acima</t>
        </is>
      </c>
    </row>
    <row r="31">
      <c r="A31" s="21" t="inlineStr">
        <is>
          <t>BDI calculado</t>
        </is>
      </c>
      <c r="B31" s="28">
        <f>((1+$B$20+$B$21+$B$22)*(1+$B$23)*(1+$B$24)/(1-B30))-1</f>
        <v/>
      </c>
      <c r="C31" s="23" t="inlineStr">
        <is>
          <t>BDI = [(1+AC+S+G+R)×(1+DF)×(1+L) / (1−I)] − 1  (Acórdão TCU 2622/2013)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72A4D"/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48" customWidth="1" min="4" max="4"/>
  </cols>
  <sheetData>
    <row r="1">
      <c r="A1" s="1" t="inlineStr">
        <is>
          <t>Insumos</t>
        </is>
      </c>
    </row>
    <row r="2">
      <c r="A2" s="2" t="inlineStr">
        <is>
          <t>Preços de materiais (preencha) e custo da hora da equipe (automático)</t>
        </is>
      </c>
    </row>
    <row r="4" ht="30" customHeight="1">
      <c r="A4" s="8" t="inlineStr">
        <is>
          <t>Insumo</t>
        </is>
      </c>
      <c r="B4" s="8" t="inlineStr">
        <is>
          <t>Unidade</t>
        </is>
      </c>
      <c r="C4" s="8" t="inlineStr">
        <is>
          <t>Preço unitário (R$)</t>
        </is>
      </c>
      <c r="D4" s="8" t="inlineStr">
        <is>
          <t>Observação</t>
        </is>
      </c>
    </row>
    <row r="5">
      <c r="A5" s="11" t="inlineStr">
        <is>
          <t>Cimento CP-II 50 kg</t>
        </is>
      </c>
      <c r="B5" s="9" t="inlineStr">
        <is>
          <t>saco</t>
        </is>
      </c>
      <c r="C5" s="17" t="n">
        <v>38</v>
      </c>
      <c r="D5" s="23" t="inlineStr">
        <is>
          <t>preço de exemplo — atualize</t>
        </is>
      </c>
    </row>
    <row r="6">
      <c r="A6" s="11" t="inlineStr">
        <is>
          <t>Areia média</t>
        </is>
      </c>
      <c r="B6" s="9" t="inlineStr">
        <is>
          <t>m³</t>
        </is>
      </c>
      <c r="C6" s="17" t="n">
        <v>150</v>
      </c>
      <c r="D6" s="23" t="inlineStr">
        <is>
          <t>preço de exemplo — atualize</t>
        </is>
      </c>
    </row>
    <row r="7">
      <c r="A7" s="11" t="inlineStr">
        <is>
          <t>Brita 1</t>
        </is>
      </c>
      <c r="B7" s="9" t="inlineStr">
        <is>
          <t>m³</t>
        </is>
      </c>
      <c r="C7" s="17" t="n">
        <v>160</v>
      </c>
      <c r="D7" s="23" t="inlineStr">
        <is>
          <t>preço de exemplo — atualize</t>
        </is>
      </c>
    </row>
    <row r="8">
      <c r="A8" s="11" t="inlineStr">
        <is>
          <t>Cal hidratada 20 kg</t>
        </is>
      </c>
      <c r="B8" s="9" t="inlineStr">
        <is>
          <t>saco</t>
        </is>
      </c>
      <c r="C8" s="17" t="n">
        <v>18</v>
      </c>
      <c r="D8" s="23" t="inlineStr">
        <is>
          <t>preço de exemplo — atualize</t>
        </is>
      </c>
    </row>
    <row r="9">
      <c r="A9" s="11" t="inlineStr">
        <is>
          <t>Bloco cerâmico 14x19x39</t>
        </is>
      </c>
      <c r="B9" s="9" t="inlineStr">
        <is>
          <t>un</t>
        </is>
      </c>
      <c r="C9" s="17" t="n">
        <v>2.6</v>
      </c>
      <c r="D9" s="23" t="inlineStr">
        <is>
          <t>preço de exemplo — atualize</t>
        </is>
      </c>
    </row>
    <row r="10">
      <c r="A10" s="11" t="inlineStr">
        <is>
          <t>Argamassa colante AC-II 20 kg</t>
        </is>
      </c>
      <c r="B10" s="9" t="inlineStr">
        <is>
          <t>saco</t>
        </is>
      </c>
      <c r="C10" s="17" t="n">
        <v>28</v>
      </c>
      <c r="D10" s="23" t="inlineStr">
        <is>
          <t>preço de exemplo — atualize</t>
        </is>
      </c>
    </row>
    <row r="11">
      <c r="A11" s="11" t="inlineStr">
        <is>
          <t>Rejunte 1 kg</t>
        </is>
      </c>
      <c r="B11" s="9" t="inlineStr">
        <is>
          <t>kg</t>
        </is>
      </c>
      <c r="C11" s="17" t="n">
        <v>9</v>
      </c>
      <c r="D11" s="23" t="inlineStr">
        <is>
          <t>preço de exemplo — atualize</t>
        </is>
      </c>
    </row>
    <row r="12">
      <c r="A12" s="11" t="inlineStr">
        <is>
          <t>Piso cerâmico</t>
        </is>
      </c>
      <c r="B12" s="9" t="inlineStr">
        <is>
          <t>m²</t>
        </is>
      </c>
      <c r="C12" s="17" t="n">
        <v>45</v>
      </c>
      <c r="D12" s="23" t="inlineStr">
        <is>
          <t>preço de exemplo — atualize</t>
        </is>
      </c>
    </row>
    <row r="13">
      <c r="A13" s="11" t="inlineStr">
        <is>
          <t>Tinta acrílica 18 L</t>
        </is>
      </c>
      <c r="B13" s="9" t="inlineStr">
        <is>
          <t>lata</t>
        </is>
      </c>
      <c r="C13" s="17" t="n">
        <v>380</v>
      </c>
      <c r="D13" s="23" t="inlineStr">
        <is>
          <t>preço de exemplo — atualize</t>
        </is>
      </c>
    </row>
    <row r="14">
      <c r="A14" s="11" t="inlineStr">
        <is>
          <t>Massa corrida 25 kg</t>
        </is>
      </c>
      <c r="B14" s="9" t="inlineStr">
        <is>
          <t>lata</t>
        </is>
      </c>
      <c r="C14" s="17" t="n">
        <v>95</v>
      </c>
      <c r="D14" s="23" t="inlineStr">
        <is>
          <t>preço de exemplo — atualize</t>
        </is>
      </c>
    </row>
    <row r="15">
      <c r="A15" s="11" t="inlineStr">
        <is>
          <t>Lixa</t>
        </is>
      </c>
      <c r="B15" s="9" t="inlineStr">
        <is>
          <t>un</t>
        </is>
      </c>
      <c r="C15" s="17" t="n">
        <v>2</v>
      </c>
      <c r="D15" s="23" t="inlineStr">
        <is>
          <t>preço de exemplo — atualize</t>
        </is>
      </c>
    </row>
    <row r="16">
      <c r="A16" s="11" t="inlineStr">
        <is>
          <t>Selador acrílico 18 L</t>
        </is>
      </c>
      <c r="B16" s="9" t="inlineStr">
        <is>
          <t>lata</t>
        </is>
      </c>
      <c r="C16" s="17" t="n">
        <v>160</v>
      </c>
      <c r="D16" s="23" t="inlineStr">
        <is>
          <t>preço de exemplo — atualize</t>
        </is>
      </c>
    </row>
    <row r="17">
      <c r="A17" s="11" t="inlineStr">
        <is>
          <t>Fio 2,5 mm²</t>
        </is>
      </c>
      <c r="B17" s="9" t="inlineStr">
        <is>
          <t>m</t>
        </is>
      </c>
      <c r="C17" s="17" t="n">
        <v>3.2</v>
      </c>
      <c r="D17" s="23" t="inlineStr">
        <is>
          <t>preço de exemplo — atualize</t>
        </is>
      </c>
    </row>
    <row r="18">
      <c r="A18" s="11" t="inlineStr">
        <is>
          <t>Eletroduto corrugado 3/4"</t>
        </is>
      </c>
      <c r="B18" s="9" t="inlineStr">
        <is>
          <t>m</t>
        </is>
      </c>
      <c r="C18" s="17" t="n">
        <v>2.5</v>
      </c>
      <c r="D18" s="23" t="inlineStr">
        <is>
          <t>preço de exemplo — atualize</t>
        </is>
      </c>
    </row>
    <row r="19">
      <c r="A19" s="11" t="inlineStr">
        <is>
          <t>Caixa 4x2</t>
        </is>
      </c>
      <c r="B19" s="9" t="inlineStr">
        <is>
          <t>un</t>
        </is>
      </c>
      <c r="C19" s="17" t="n">
        <v>3</v>
      </c>
      <c r="D19" s="23" t="inlineStr">
        <is>
          <t>preço de exemplo — atualize</t>
        </is>
      </c>
    </row>
    <row r="20">
      <c r="A20" s="11" t="inlineStr">
        <is>
          <t>Tomada 2P+T</t>
        </is>
      </c>
      <c r="B20" s="9" t="inlineStr">
        <is>
          <t>un</t>
        </is>
      </c>
      <c r="C20" s="17" t="n">
        <v>18</v>
      </c>
      <c r="D20" s="23" t="inlineStr">
        <is>
          <t>preço de exemplo — atualize</t>
        </is>
      </c>
    </row>
    <row r="21">
      <c r="A21" s="11" t="inlineStr">
        <is>
          <t>Disjuntor 20 A</t>
        </is>
      </c>
      <c r="B21" s="9" t="inlineStr">
        <is>
          <t>un</t>
        </is>
      </c>
      <c r="C21" s="17" t="n">
        <v>25</v>
      </c>
      <c r="D21" s="23" t="inlineStr">
        <is>
          <t>preço de exemplo — atualize</t>
        </is>
      </c>
    </row>
    <row r="22">
      <c r="A22" s="11" t="inlineStr">
        <is>
          <t>Telha fibrocimento 2,44 x 1,10 m</t>
        </is>
      </c>
      <c r="B22" s="9" t="inlineStr">
        <is>
          <t>un</t>
        </is>
      </c>
      <c r="C22" s="17" t="n">
        <v>75</v>
      </c>
      <c r="D22" s="23" t="inlineStr">
        <is>
          <t>preço de exemplo — atualize</t>
        </is>
      </c>
    </row>
    <row r="23">
      <c r="A23" s="11" t="inlineStr">
        <is>
          <t>Parafuso p/ telha c/ vedação</t>
        </is>
      </c>
      <c r="B23" s="9" t="inlineStr">
        <is>
          <t>un</t>
        </is>
      </c>
      <c r="C23" s="17" t="n">
        <v>1.5</v>
      </c>
      <c r="D23" s="23" t="inlineStr">
        <is>
          <t>preço de exemplo — atualize</t>
        </is>
      </c>
    </row>
    <row r="24">
      <c r="A24" s="11" t="inlineStr">
        <is>
          <t>Assento sanitário</t>
        </is>
      </c>
      <c r="B24" s="9" t="inlineStr">
        <is>
          <t>un</t>
        </is>
      </c>
      <c r="C24" s="17" t="n">
        <v>60</v>
      </c>
      <c r="D24" s="23" t="inlineStr">
        <is>
          <t>preço de exemplo — atualize</t>
        </is>
      </c>
    </row>
    <row r="25">
      <c r="A25" s="11" t="inlineStr">
        <is>
          <t>Vidro liso 4 mm</t>
        </is>
      </c>
      <c r="B25" s="9" t="inlineStr">
        <is>
          <t>m²</t>
        </is>
      </c>
      <c r="C25" s="17" t="n">
        <v>120</v>
      </c>
      <c r="D25" s="23" t="inlineStr">
        <is>
          <t>preço de exemplo — atualize</t>
        </is>
      </c>
    </row>
    <row r="26">
      <c r="A26" s="11" t="inlineStr">
        <is>
          <t>Massa de vidraceiro</t>
        </is>
      </c>
      <c r="B26" s="9" t="inlineStr">
        <is>
          <t>kg</t>
        </is>
      </c>
      <c r="C26" s="17" t="n">
        <v>12</v>
      </c>
      <c r="D26" s="23" t="inlineStr">
        <is>
          <t>preço de exemplo — atualize</t>
        </is>
      </c>
    </row>
    <row r="28">
      <c r="A28" s="29" t="inlineStr">
        <is>
          <t>Mão de obra (custo da hora com encargos)</t>
        </is>
      </c>
      <c r="B28" s="16" t="n"/>
      <c r="C28" s="16" t="n"/>
      <c r="D28" s="16" t="n"/>
    </row>
    <row r="29">
      <c r="A29" s="11" t="inlineStr">
        <is>
          <t>Pedreiro</t>
        </is>
      </c>
      <c r="B29" s="9" t="inlineStr">
        <is>
          <t>h</t>
        </is>
      </c>
      <c r="C29" s="30">
        <f>'Parâmetros'!B5/'Parâmetros'!$B$15*(1+'Parâmetros'!$B$16)</f>
        <v/>
      </c>
      <c r="D29" s="23" t="inlineStr">
        <is>
          <t>diária ÷ horas por dia × (1 + encargos)</t>
        </is>
      </c>
    </row>
    <row r="30">
      <c r="A30" s="11" t="inlineStr">
        <is>
          <t>Servente</t>
        </is>
      </c>
      <c r="B30" s="9" t="inlineStr">
        <is>
          <t>h</t>
        </is>
      </c>
      <c r="C30" s="30">
        <f>'Parâmetros'!B6/'Parâmetros'!$B$15*(1+'Parâmetros'!$B$16)</f>
        <v/>
      </c>
      <c r="D30" s="23" t="inlineStr">
        <is>
          <t>diária ÷ horas por dia × (1 + encargos)</t>
        </is>
      </c>
    </row>
    <row r="31">
      <c r="A31" s="11" t="inlineStr">
        <is>
          <t>Eletricista</t>
        </is>
      </c>
      <c r="B31" s="9" t="inlineStr">
        <is>
          <t>h</t>
        </is>
      </c>
      <c r="C31" s="30">
        <f>'Parâmetros'!B7/'Parâmetros'!$B$15*(1+'Parâmetros'!$B$16)</f>
        <v/>
      </c>
      <c r="D31" s="23" t="inlineStr">
        <is>
          <t>diária ÷ horas por dia × (1 + encargos)</t>
        </is>
      </c>
    </row>
    <row r="32">
      <c r="A32" s="11" t="inlineStr">
        <is>
          <t>Encanador</t>
        </is>
      </c>
      <c r="B32" s="9" t="inlineStr">
        <is>
          <t>h</t>
        </is>
      </c>
      <c r="C32" s="30">
        <f>'Parâmetros'!B8/'Parâmetros'!$B$15*(1+'Parâmetros'!$B$16)</f>
        <v/>
      </c>
      <c r="D32" s="23" t="inlineStr">
        <is>
          <t>diária ÷ horas por dia × (1 + encargos)</t>
        </is>
      </c>
    </row>
    <row r="33">
      <c r="A33" s="11" t="inlineStr">
        <is>
          <t>Pintor</t>
        </is>
      </c>
      <c r="B33" s="9" t="inlineStr">
        <is>
          <t>h</t>
        </is>
      </c>
      <c r="C33" s="30">
        <f>'Parâmetros'!B9/'Parâmetros'!$B$15*(1+'Parâmetros'!$B$16)</f>
        <v/>
      </c>
      <c r="D33" s="23" t="inlineStr">
        <is>
          <t>diária ÷ horas por dia × (1 + encargos)</t>
        </is>
      </c>
    </row>
    <row r="34">
      <c r="A34" s="11" t="inlineStr">
        <is>
          <t>Carpinteiro</t>
        </is>
      </c>
      <c r="B34" s="9" t="inlineStr">
        <is>
          <t>h</t>
        </is>
      </c>
      <c r="C34" s="30">
        <f>'Parâmetros'!B10/'Parâmetros'!$B$15*(1+'Parâmetros'!$B$16)</f>
        <v/>
      </c>
      <c r="D34" s="23" t="inlineStr">
        <is>
          <t>diária ÷ horas por dia × (1 + encargos)</t>
        </is>
      </c>
    </row>
    <row r="35">
      <c r="A35" s="11" t="inlineStr">
        <is>
          <t>Azulejista</t>
        </is>
      </c>
      <c r="B35" s="9" t="inlineStr">
        <is>
          <t>h</t>
        </is>
      </c>
      <c r="C35" s="30">
        <f>'Parâmetros'!B11/'Parâmetros'!$B$15*(1+'Parâmetros'!$B$16)</f>
        <v/>
      </c>
      <c r="D35" s="23" t="inlineStr">
        <is>
          <t>diária ÷ horas por dia × (1 + encargos)</t>
        </is>
      </c>
    </row>
    <row r="36">
      <c r="A36" s="11" t="inlineStr">
        <is>
          <t>Vidraceiro</t>
        </is>
      </c>
      <c r="B36" s="9" t="inlineStr">
        <is>
          <t>h</t>
        </is>
      </c>
      <c r="C36" s="30">
        <f>'Parâmetros'!B12/'Parâmetros'!$B$15*(1+'Parâmetros'!$B$16)</f>
        <v/>
      </c>
      <c r="D36" s="23" t="inlineStr">
        <is>
          <t>diária ÷ horas por dia × (1 + encargos)</t>
        </is>
      </c>
    </row>
    <row r="37">
      <c r="A37" s="11" t="inlineStr">
        <is>
          <t>Mestre de obras</t>
        </is>
      </c>
      <c r="B37" s="9" t="inlineStr">
        <is>
          <t>h</t>
        </is>
      </c>
      <c r="C37" s="30">
        <f>'Parâmetros'!B13/'Parâmetros'!$B$15*(1+'Parâmetros'!$B$16)</f>
        <v/>
      </c>
      <c r="D37" s="23" t="inlineStr">
        <is>
          <t>diária ÷ horas por dia × (1 + encargos)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72A4D"/>
    <outlinePr summaryBelow="1" summaryRight="1"/>
    <pageSetUpPr/>
  </sheetPr>
  <dimension ref="A1:I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8" customWidth="1" min="3" max="3"/>
    <col width="14" customWidth="1" min="4" max="4"/>
    <col width="34" customWidth="1" min="5" max="5"/>
    <col width="9" customWidth="1" min="6" max="6"/>
    <col width="11" customWidth="1" min="7" max="7"/>
    <col width="16" customWidth="1" min="8" max="8"/>
    <col width="16" customWidth="1" min="9" max="9"/>
  </cols>
  <sheetData>
    <row r="1">
      <c r="A1" s="1" t="inlineStr">
        <is>
          <t>Composições de custo unitário</t>
        </is>
      </c>
    </row>
    <row r="2">
      <c r="A2" s="2" t="inlineStr">
        <is>
          <t>Quanto cada serviço consome por unidade (coeficientes = exemplos de referência; ajuste com a sua experiência)</t>
        </is>
      </c>
    </row>
    <row r="4" ht="30" customHeight="1">
      <c r="A4" s="8" t="inlineStr">
        <is>
          <t>Código</t>
        </is>
      </c>
      <c r="B4" s="8" t="inlineStr">
        <is>
          <t>Serviço</t>
        </is>
      </c>
      <c r="C4" s="8" t="inlineStr">
        <is>
          <t>Unid.</t>
        </is>
      </c>
      <c r="D4" s="8" t="inlineStr">
        <is>
          <t>Tipo</t>
        </is>
      </c>
      <c r="E4" s="8" t="inlineStr">
        <is>
          <t>Insumo / profissional</t>
        </is>
      </c>
      <c r="F4" s="8" t="inlineStr">
        <is>
          <t>Un.</t>
        </is>
      </c>
      <c r="G4" s="8" t="inlineStr">
        <is>
          <t>Coeficiente</t>
        </is>
      </c>
      <c r="H4" s="8" t="inlineStr">
        <is>
          <t>Preço unit. (R$)</t>
        </is>
      </c>
      <c r="I4" s="8" t="inlineStr">
        <is>
          <t>Custo (R$)</t>
        </is>
      </c>
    </row>
    <row r="5">
      <c r="A5" s="9" t="inlineStr">
        <is>
          <t>S01</t>
        </is>
      </c>
      <c r="B5" s="11" t="inlineStr">
        <is>
          <t>Alvenaria de bloco cerâmico 14 cm</t>
        </is>
      </c>
      <c r="C5" s="9" t="inlineStr">
        <is>
          <t>m²</t>
        </is>
      </c>
      <c r="D5" s="9" t="inlineStr">
        <is>
          <t>Material</t>
        </is>
      </c>
      <c r="E5" s="6" t="inlineStr">
        <is>
          <t>Bloco cerâmico 14x19x39</t>
        </is>
      </c>
      <c r="F5" s="9">
        <f>IFERROR(INDEX('Insumos'!$B$5:$B$37,MATCH(E5,'Insumos'!$A$5:$A$37,0)),"?")</f>
        <v/>
      </c>
      <c r="G5" s="31" t="n">
        <v>13.5</v>
      </c>
      <c r="H5" s="30">
        <f>IFERROR(INDEX('Insumos'!$C$5:$C$37,MATCH(E5,'Insumos'!$A$5:$A$37,0)),0)</f>
        <v/>
      </c>
      <c r="I5" s="13">
        <f>G5*H5</f>
        <v/>
      </c>
    </row>
    <row r="6">
      <c r="A6" s="9" t="inlineStr">
        <is>
          <t>S01</t>
        </is>
      </c>
      <c r="B6" s="11" t="inlineStr">
        <is>
          <t>Alvenaria de bloco cerâmico 14 cm</t>
        </is>
      </c>
      <c r="C6" s="9" t="inlineStr">
        <is>
          <t>m²</t>
        </is>
      </c>
      <c r="D6" s="9" t="inlineStr">
        <is>
          <t>Material</t>
        </is>
      </c>
      <c r="E6" s="6" t="inlineStr">
        <is>
          <t>Cimento CP-II 50 kg</t>
        </is>
      </c>
      <c r="F6" s="9">
        <f>IFERROR(INDEX('Insumos'!$B$5:$B$37,MATCH(E6,'Insumos'!$A$5:$A$37,0)),"?")</f>
        <v/>
      </c>
      <c r="G6" s="31" t="n">
        <v>0.07000000000000001</v>
      </c>
      <c r="H6" s="30">
        <f>IFERROR(INDEX('Insumos'!$C$5:$C$37,MATCH(E6,'Insumos'!$A$5:$A$37,0)),0)</f>
        <v/>
      </c>
      <c r="I6" s="13">
        <f>G6*H6</f>
        <v/>
      </c>
    </row>
    <row r="7">
      <c r="A7" s="9" t="inlineStr">
        <is>
          <t>S01</t>
        </is>
      </c>
      <c r="B7" s="11" t="inlineStr">
        <is>
          <t>Alvenaria de bloco cerâmico 14 cm</t>
        </is>
      </c>
      <c r="C7" s="9" t="inlineStr">
        <is>
          <t>m²</t>
        </is>
      </c>
      <c r="D7" s="9" t="inlineStr">
        <is>
          <t>Material</t>
        </is>
      </c>
      <c r="E7" s="6" t="inlineStr">
        <is>
          <t>Areia média</t>
        </is>
      </c>
      <c r="F7" s="9">
        <f>IFERROR(INDEX('Insumos'!$B$5:$B$37,MATCH(E7,'Insumos'!$A$5:$A$37,0)),"?")</f>
        <v/>
      </c>
      <c r="G7" s="31" t="n">
        <v>0.012</v>
      </c>
      <c r="H7" s="30">
        <f>IFERROR(INDEX('Insumos'!$C$5:$C$37,MATCH(E7,'Insumos'!$A$5:$A$37,0)),0)</f>
        <v/>
      </c>
      <c r="I7" s="13">
        <f>G7*H7</f>
        <v/>
      </c>
    </row>
    <row r="8">
      <c r="A8" s="9" t="inlineStr">
        <is>
          <t>S01</t>
        </is>
      </c>
      <c r="B8" s="11" t="inlineStr">
        <is>
          <t>Alvenaria de bloco cerâmico 14 cm</t>
        </is>
      </c>
      <c r="C8" s="9" t="inlineStr">
        <is>
          <t>m²</t>
        </is>
      </c>
      <c r="D8" s="9" t="inlineStr">
        <is>
          <t>Material</t>
        </is>
      </c>
      <c r="E8" s="6" t="inlineStr">
        <is>
          <t>Cal hidratada 20 kg</t>
        </is>
      </c>
      <c r="F8" s="9">
        <f>IFERROR(INDEX('Insumos'!$B$5:$B$37,MATCH(E8,'Insumos'!$A$5:$A$37,0)),"?")</f>
        <v/>
      </c>
      <c r="G8" s="31" t="n">
        <v>0.1</v>
      </c>
      <c r="H8" s="30">
        <f>IFERROR(INDEX('Insumos'!$C$5:$C$37,MATCH(E8,'Insumos'!$A$5:$A$37,0)),0)</f>
        <v/>
      </c>
      <c r="I8" s="13">
        <f>G8*H8</f>
        <v/>
      </c>
    </row>
    <row r="9">
      <c r="A9" s="9" t="inlineStr">
        <is>
          <t>S01</t>
        </is>
      </c>
      <c r="B9" s="11" t="inlineStr">
        <is>
          <t>Alvenaria de bloco cerâmico 14 cm</t>
        </is>
      </c>
      <c r="C9" s="9" t="inlineStr">
        <is>
          <t>m²</t>
        </is>
      </c>
      <c r="D9" s="9" t="inlineStr">
        <is>
          <t>Mão de obra</t>
        </is>
      </c>
      <c r="E9" s="6" t="inlineStr">
        <is>
          <t>Pedreiro</t>
        </is>
      </c>
      <c r="F9" s="9">
        <f>IFERROR(INDEX('Insumos'!$B$5:$B$37,MATCH(E9,'Insumos'!$A$5:$A$37,0)),"?")</f>
        <v/>
      </c>
      <c r="G9" s="31" t="n">
        <v>0.9</v>
      </c>
      <c r="H9" s="30">
        <f>IFERROR(INDEX('Insumos'!$C$5:$C$37,MATCH(E9,'Insumos'!$A$5:$A$37,0)),0)</f>
        <v/>
      </c>
      <c r="I9" s="13">
        <f>G9*H9</f>
        <v/>
      </c>
    </row>
    <row r="10">
      <c r="A10" s="9" t="inlineStr">
        <is>
          <t>S01</t>
        </is>
      </c>
      <c r="B10" s="11" t="inlineStr">
        <is>
          <t>Alvenaria de bloco cerâmico 14 cm</t>
        </is>
      </c>
      <c r="C10" s="9" t="inlineStr">
        <is>
          <t>m²</t>
        </is>
      </c>
      <c r="D10" s="9" t="inlineStr">
        <is>
          <t>Mão de obra</t>
        </is>
      </c>
      <c r="E10" s="6" t="inlineStr">
        <is>
          <t>Servente</t>
        </is>
      </c>
      <c r="F10" s="9">
        <f>IFERROR(INDEX('Insumos'!$B$5:$B$37,MATCH(E10,'Insumos'!$A$5:$A$37,0)),"?")</f>
        <v/>
      </c>
      <c r="G10" s="31" t="n">
        <v>0.9</v>
      </c>
      <c r="H10" s="30">
        <f>IFERROR(INDEX('Insumos'!$C$5:$C$37,MATCH(E10,'Insumos'!$A$5:$A$37,0)),0)</f>
        <v/>
      </c>
      <c r="I10" s="13">
        <f>G10*H10</f>
        <v/>
      </c>
    </row>
    <row r="11">
      <c r="A11" s="9" t="inlineStr">
        <is>
          <t>S02</t>
        </is>
      </c>
      <c r="B11" s="11" t="inlineStr">
        <is>
          <t>Chapisco em parede</t>
        </is>
      </c>
      <c r="C11" s="9" t="inlineStr">
        <is>
          <t>m²</t>
        </is>
      </c>
      <c r="D11" s="9" t="inlineStr">
        <is>
          <t>Material</t>
        </is>
      </c>
      <c r="E11" s="6" t="inlineStr">
        <is>
          <t>Cimento CP-II 50 kg</t>
        </is>
      </c>
      <c r="F11" s="9">
        <f>IFERROR(INDEX('Insumos'!$B$5:$B$37,MATCH(E11,'Insumos'!$A$5:$A$37,0)),"?")</f>
        <v/>
      </c>
      <c r="G11" s="31" t="n">
        <v>0.04</v>
      </c>
      <c r="H11" s="30">
        <f>IFERROR(INDEX('Insumos'!$C$5:$C$37,MATCH(E11,'Insumos'!$A$5:$A$37,0)),0)</f>
        <v/>
      </c>
      <c r="I11" s="13">
        <f>G11*H11</f>
        <v/>
      </c>
    </row>
    <row r="12">
      <c r="A12" s="9" t="inlineStr">
        <is>
          <t>S02</t>
        </is>
      </c>
      <c r="B12" s="11" t="inlineStr">
        <is>
          <t>Chapisco em parede</t>
        </is>
      </c>
      <c r="C12" s="9" t="inlineStr">
        <is>
          <t>m²</t>
        </is>
      </c>
      <c r="D12" s="9" t="inlineStr">
        <is>
          <t>Material</t>
        </is>
      </c>
      <c r="E12" s="6" t="inlineStr">
        <is>
          <t>Areia média</t>
        </is>
      </c>
      <c r="F12" s="9">
        <f>IFERROR(INDEX('Insumos'!$B$5:$B$37,MATCH(E12,'Insumos'!$A$5:$A$37,0)),"?")</f>
        <v/>
      </c>
      <c r="G12" s="31" t="n">
        <v>0.005</v>
      </c>
      <c r="H12" s="30">
        <f>IFERROR(INDEX('Insumos'!$C$5:$C$37,MATCH(E12,'Insumos'!$A$5:$A$37,0)),0)</f>
        <v/>
      </c>
      <c r="I12" s="13">
        <f>G12*H12</f>
        <v/>
      </c>
    </row>
    <row r="13">
      <c r="A13" s="9" t="inlineStr">
        <is>
          <t>S02</t>
        </is>
      </c>
      <c r="B13" s="11" t="inlineStr">
        <is>
          <t>Chapisco em parede</t>
        </is>
      </c>
      <c r="C13" s="9" t="inlineStr">
        <is>
          <t>m²</t>
        </is>
      </c>
      <c r="D13" s="9" t="inlineStr">
        <is>
          <t>Mão de obra</t>
        </is>
      </c>
      <c r="E13" s="6" t="inlineStr">
        <is>
          <t>Pedreiro</t>
        </is>
      </c>
      <c r="F13" s="9">
        <f>IFERROR(INDEX('Insumos'!$B$5:$B$37,MATCH(E13,'Insumos'!$A$5:$A$37,0)),"?")</f>
        <v/>
      </c>
      <c r="G13" s="31" t="n">
        <v>0.1</v>
      </c>
      <c r="H13" s="30">
        <f>IFERROR(INDEX('Insumos'!$C$5:$C$37,MATCH(E13,'Insumos'!$A$5:$A$37,0)),0)</f>
        <v/>
      </c>
      <c r="I13" s="13">
        <f>G13*H13</f>
        <v/>
      </c>
    </row>
    <row r="14">
      <c r="A14" s="9" t="inlineStr">
        <is>
          <t>S02</t>
        </is>
      </c>
      <c r="B14" s="11" t="inlineStr">
        <is>
          <t>Chapisco em parede</t>
        </is>
      </c>
      <c r="C14" s="9" t="inlineStr">
        <is>
          <t>m²</t>
        </is>
      </c>
      <c r="D14" s="9" t="inlineStr">
        <is>
          <t>Mão de obra</t>
        </is>
      </c>
      <c r="E14" s="6" t="inlineStr">
        <is>
          <t>Servente</t>
        </is>
      </c>
      <c r="F14" s="9">
        <f>IFERROR(INDEX('Insumos'!$B$5:$B$37,MATCH(E14,'Insumos'!$A$5:$A$37,0)),"?")</f>
        <v/>
      </c>
      <c r="G14" s="31" t="n">
        <v>0.1</v>
      </c>
      <c r="H14" s="30">
        <f>IFERROR(INDEX('Insumos'!$C$5:$C$37,MATCH(E14,'Insumos'!$A$5:$A$37,0)),0)</f>
        <v/>
      </c>
      <c r="I14" s="13">
        <f>G14*H14</f>
        <v/>
      </c>
    </row>
    <row r="15">
      <c r="A15" s="9" t="inlineStr">
        <is>
          <t>S03</t>
        </is>
      </c>
      <c r="B15" s="11" t="inlineStr">
        <is>
          <t>Reboco / emboço 2 cm</t>
        </is>
      </c>
      <c r="C15" s="9" t="inlineStr">
        <is>
          <t>m²</t>
        </is>
      </c>
      <c r="D15" s="9" t="inlineStr">
        <is>
          <t>Material</t>
        </is>
      </c>
      <c r="E15" s="6" t="inlineStr">
        <is>
          <t>Cimento CP-II 50 kg</t>
        </is>
      </c>
      <c r="F15" s="9">
        <f>IFERROR(INDEX('Insumos'!$B$5:$B$37,MATCH(E15,'Insumos'!$A$5:$A$37,0)),"?")</f>
        <v/>
      </c>
      <c r="G15" s="31" t="n">
        <v>0.12</v>
      </c>
      <c r="H15" s="30">
        <f>IFERROR(INDEX('Insumos'!$C$5:$C$37,MATCH(E15,'Insumos'!$A$5:$A$37,0)),0)</f>
        <v/>
      </c>
      <c r="I15" s="13">
        <f>G15*H15</f>
        <v/>
      </c>
    </row>
    <row r="16">
      <c r="A16" s="9" t="inlineStr">
        <is>
          <t>S03</t>
        </is>
      </c>
      <c r="B16" s="11" t="inlineStr">
        <is>
          <t>Reboco / emboço 2 cm</t>
        </is>
      </c>
      <c r="C16" s="9" t="inlineStr">
        <is>
          <t>m²</t>
        </is>
      </c>
      <c r="D16" s="9" t="inlineStr">
        <is>
          <t>Material</t>
        </is>
      </c>
      <c r="E16" s="6" t="inlineStr">
        <is>
          <t>Cal hidratada 20 kg</t>
        </is>
      </c>
      <c r="F16" s="9">
        <f>IFERROR(INDEX('Insumos'!$B$5:$B$37,MATCH(E16,'Insumos'!$A$5:$A$37,0)),"?")</f>
        <v/>
      </c>
      <c r="G16" s="31" t="n">
        <v>0.15</v>
      </c>
      <c r="H16" s="30">
        <f>IFERROR(INDEX('Insumos'!$C$5:$C$37,MATCH(E16,'Insumos'!$A$5:$A$37,0)),0)</f>
        <v/>
      </c>
      <c r="I16" s="13">
        <f>G16*H16</f>
        <v/>
      </c>
    </row>
    <row r="17">
      <c r="A17" s="9" t="inlineStr">
        <is>
          <t>S03</t>
        </is>
      </c>
      <c r="B17" s="11" t="inlineStr">
        <is>
          <t>Reboco / emboço 2 cm</t>
        </is>
      </c>
      <c r="C17" s="9" t="inlineStr">
        <is>
          <t>m²</t>
        </is>
      </c>
      <c r="D17" s="9" t="inlineStr">
        <is>
          <t>Material</t>
        </is>
      </c>
      <c r="E17" s="6" t="inlineStr">
        <is>
          <t>Areia média</t>
        </is>
      </c>
      <c r="F17" s="9">
        <f>IFERROR(INDEX('Insumos'!$B$5:$B$37,MATCH(E17,'Insumos'!$A$5:$A$37,0)),"?")</f>
        <v/>
      </c>
      <c r="G17" s="31" t="n">
        <v>0.025</v>
      </c>
      <c r="H17" s="30">
        <f>IFERROR(INDEX('Insumos'!$C$5:$C$37,MATCH(E17,'Insumos'!$A$5:$A$37,0)),0)</f>
        <v/>
      </c>
      <c r="I17" s="13">
        <f>G17*H17</f>
        <v/>
      </c>
    </row>
    <row r="18">
      <c r="A18" s="9" t="inlineStr">
        <is>
          <t>S03</t>
        </is>
      </c>
      <c r="B18" s="11" t="inlineStr">
        <is>
          <t>Reboco / emboço 2 cm</t>
        </is>
      </c>
      <c r="C18" s="9" t="inlineStr">
        <is>
          <t>m²</t>
        </is>
      </c>
      <c r="D18" s="9" t="inlineStr">
        <is>
          <t>Mão de obra</t>
        </is>
      </c>
      <c r="E18" s="6" t="inlineStr">
        <is>
          <t>Pedreiro</t>
        </is>
      </c>
      <c r="F18" s="9">
        <f>IFERROR(INDEX('Insumos'!$B$5:$B$37,MATCH(E18,'Insumos'!$A$5:$A$37,0)),"?")</f>
        <v/>
      </c>
      <c r="G18" s="31" t="n">
        <v>0.6</v>
      </c>
      <c r="H18" s="30">
        <f>IFERROR(INDEX('Insumos'!$C$5:$C$37,MATCH(E18,'Insumos'!$A$5:$A$37,0)),0)</f>
        <v/>
      </c>
      <c r="I18" s="13">
        <f>G18*H18</f>
        <v/>
      </c>
    </row>
    <row r="19">
      <c r="A19" s="9" t="inlineStr">
        <is>
          <t>S03</t>
        </is>
      </c>
      <c r="B19" s="11" t="inlineStr">
        <is>
          <t>Reboco / emboço 2 cm</t>
        </is>
      </c>
      <c r="C19" s="9" t="inlineStr">
        <is>
          <t>m²</t>
        </is>
      </c>
      <c r="D19" s="9" t="inlineStr">
        <is>
          <t>Mão de obra</t>
        </is>
      </c>
      <c r="E19" s="6" t="inlineStr">
        <is>
          <t>Servente</t>
        </is>
      </c>
      <c r="F19" s="9">
        <f>IFERROR(INDEX('Insumos'!$B$5:$B$37,MATCH(E19,'Insumos'!$A$5:$A$37,0)),"?")</f>
        <v/>
      </c>
      <c r="G19" s="31" t="n">
        <v>0.6</v>
      </c>
      <c r="H19" s="30">
        <f>IFERROR(INDEX('Insumos'!$C$5:$C$37,MATCH(E19,'Insumos'!$A$5:$A$37,0)),0)</f>
        <v/>
      </c>
      <c r="I19" s="13">
        <f>G19*H19</f>
        <v/>
      </c>
    </row>
    <row r="20">
      <c r="A20" s="9" t="inlineStr">
        <is>
          <t>S04</t>
        </is>
      </c>
      <c r="B20" s="11" t="inlineStr">
        <is>
          <t>Contrapiso 5 cm</t>
        </is>
      </c>
      <c r="C20" s="9" t="inlineStr">
        <is>
          <t>m²</t>
        </is>
      </c>
      <c r="D20" s="9" t="inlineStr">
        <is>
          <t>Material</t>
        </is>
      </c>
      <c r="E20" s="6" t="inlineStr">
        <is>
          <t>Cimento CP-II 50 kg</t>
        </is>
      </c>
      <c r="F20" s="9">
        <f>IFERROR(INDEX('Insumos'!$B$5:$B$37,MATCH(E20,'Insumos'!$A$5:$A$37,0)),"?")</f>
        <v/>
      </c>
      <c r="G20" s="31" t="n">
        <v>0.3</v>
      </c>
      <c r="H20" s="30">
        <f>IFERROR(INDEX('Insumos'!$C$5:$C$37,MATCH(E20,'Insumos'!$A$5:$A$37,0)),0)</f>
        <v/>
      </c>
      <c r="I20" s="13">
        <f>G20*H20</f>
        <v/>
      </c>
    </row>
    <row r="21">
      <c r="A21" s="9" t="inlineStr">
        <is>
          <t>S04</t>
        </is>
      </c>
      <c r="B21" s="11" t="inlineStr">
        <is>
          <t>Contrapiso 5 cm</t>
        </is>
      </c>
      <c r="C21" s="9" t="inlineStr">
        <is>
          <t>m²</t>
        </is>
      </c>
      <c r="D21" s="9" t="inlineStr">
        <is>
          <t>Material</t>
        </is>
      </c>
      <c r="E21" s="6" t="inlineStr">
        <is>
          <t>Areia média</t>
        </is>
      </c>
      <c r="F21" s="9">
        <f>IFERROR(INDEX('Insumos'!$B$5:$B$37,MATCH(E21,'Insumos'!$A$5:$A$37,0)),"?")</f>
        <v/>
      </c>
      <c r="G21" s="31" t="n">
        <v>0.05</v>
      </c>
      <c r="H21" s="30">
        <f>IFERROR(INDEX('Insumos'!$C$5:$C$37,MATCH(E21,'Insumos'!$A$5:$A$37,0)),0)</f>
        <v/>
      </c>
      <c r="I21" s="13">
        <f>G21*H21</f>
        <v/>
      </c>
    </row>
    <row r="22">
      <c r="A22" s="9" t="inlineStr">
        <is>
          <t>S04</t>
        </is>
      </c>
      <c r="B22" s="11" t="inlineStr">
        <is>
          <t>Contrapiso 5 cm</t>
        </is>
      </c>
      <c r="C22" s="9" t="inlineStr">
        <is>
          <t>m²</t>
        </is>
      </c>
      <c r="D22" s="9" t="inlineStr">
        <is>
          <t>Mão de obra</t>
        </is>
      </c>
      <c r="E22" s="6" t="inlineStr">
        <is>
          <t>Pedreiro</t>
        </is>
      </c>
      <c r="F22" s="9">
        <f>IFERROR(INDEX('Insumos'!$B$5:$B$37,MATCH(E22,'Insumos'!$A$5:$A$37,0)),"?")</f>
        <v/>
      </c>
      <c r="G22" s="31" t="n">
        <v>0.4</v>
      </c>
      <c r="H22" s="30">
        <f>IFERROR(INDEX('Insumos'!$C$5:$C$37,MATCH(E22,'Insumos'!$A$5:$A$37,0)),0)</f>
        <v/>
      </c>
      <c r="I22" s="13">
        <f>G22*H22</f>
        <v/>
      </c>
    </row>
    <row r="23">
      <c r="A23" s="9" t="inlineStr">
        <is>
          <t>S04</t>
        </is>
      </c>
      <c r="B23" s="11" t="inlineStr">
        <is>
          <t>Contrapiso 5 cm</t>
        </is>
      </c>
      <c r="C23" s="9" t="inlineStr">
        <is>
          <t>m²</t>
        </is>
      </c>
      <c r="D23" s="9" t="inlineStr">
        <is>
          <t>Mão de obra</t>
        </is>
      </c>
      <c r="E23" s="6" t="inlineStr">
        <is>
          <t>Servente</t>
        </is>
      </c>
      <c r="F23" s="9">
        <f>IFERROR(INDEX('Insumos'!$B$5:$B$37,MATCH(E23,'Insumos'!$A$5:$A$37,0)),"?")</f>
        <v/>
      </c>
      <c r="G23" s="31" t="n">
        <v>0.5</v>
      </c>
      <c r="H23" s="30">
        <f>IFERROR(INDEX('Insumos'!$C$5:$C$37,MATCH(E23,'Insumos'!$A$5:$A$37,0)),0)</f>
        <v/>
      </c>
      <c r="I23" s="13">
        <f>G23*H23</f>
        <v/>
      </c>
    </row>
    <row r="24">
      <c r="A24" s="9" t="inlineStr">
        <is>
          <t>S05</t>
        </is>
      </c>
      <c r="B24" s="11" t="inlineStr">
        <is>
          <t>Piso cerâmico assentado com rejunte</t>
        </is>
      </c>
      <c r="C24" s="9" t="inlineStr">
        <is>
          <t>m²</t>
        </is>
      </c>
      <c r="D24" s="9" t="inlineStr">
        <is>
          <t>Material</t>
        </is>
      </c>
      <c r="E24" s="6" t="inlineStr">
        <is>
          <t>Piso cerâmico</t>
        </is>
      </c>
      <c r="F24" s="9">
        <f>IFERROR(INDEX('Insumos'!$B$5:$B$37,MATCH(E24,'Insumos'!$A$5:$A$37,0)),"?")</f>
        <v/>
      </c>
      <c r="G24" s="31" t="n">
        <v>1.1</v>
      </c>
      <c r="H24" s="30">
        <f>IFERROR(INDEX('Insumos'!$C$5:$C$37,MATCH(E24,'Insumos'!$A$5:$A$37,0)),0)</f>
        <v/>
      </c>
      <c r="I24" s="13">
        <f>G24*H24</f>
        <v/>
      </c>
    </row>
    <row r="25">
      <c r="A25" s="9" t="inlineStr">
        <is>
          <t>S05</t>
        </is>
      </c>
      <c r="B25" s="11" t="inlineStr">
        <is>
          <t>Piso cerâmico assentado com rejunte</t>
        </is>
      </c>
      <c r="C25" s="9" t="inlineStr">
        <is>
          <t>m²</t>
        </is>
      </c>
      <c r="D25" s="9" t="inlineStr">
        <is>
          <t>Material</t>
        </is>
      </c>
      <c r="E25" s="6" t="inlineStr">
        <is>
          <t>Argamassa colante AC-II 20 kg</t>
        </is>
      </c>
      <c r="F25" s="9">
        <f>IFERROR(INDEX('Insumos'!$B$5:$B$37,MATCH(E25,'Insumos'!$A$5:$A$37,0)),"?")</f>
        <v/>
      </c>
      <c r="G25" s="31" t="n">
        <v>0.25</v>
      </c>
      <c r="H25" s="30">
        <f>IFERROR(INDEX('Insumos'!$C$5:$C$37,MATCH(E25,'Insumos'!$A$5:$A$37,0)),0)</f>
        <v/>
      </c>
      <c r="I25" s="13">
        <f>G25*H25</f>
        <v/>
      </c>
    </row>
    <row r="26">
      <c r="A26" s="9" t="inlineStr">
        <is>
          <t>S05</t>
        </is>
      </c>
      <c r="B26" s="11" t="inlineStr">
        <is>
          <t>Piso cerâmico assentado com rejunte</t>
        </is>
      </c>
      <c r="C26" s="9" t="inlineStr">
        <is>
          <t>m²</t>
        </is>
      </c>
      <c r="D26" s="9" t="inlineStr">
        <is>
          <t>Material</t>
        </is>
      </c>
      <c r="E26" s="6" t="inlineStr">
        <is>
          <t>Rejunte 1 kg</t>
        </is>
      </c>
      <c r="F26" s="9">
        <f>IFERROR(INDEX('Insumos'!$B$5:$B$37,MATCH(E26,'Insumos'!$A$5:$A$37,0)),"?")</f>
        <v/>
      </c>
      <c r="G26" s="31" t="n">
        <v>0.3</v>
      </c>
      <c r="H26" s="30">
        <f>IFERROR(INDEX('Insumos'!$C$5:$C$37,MATCH(E26,'Insumos'!$A$5:$A$37,0)),0)</f>
        <v/>
      </c>
      <c r="I26" s="13">
        <f>G26*H26</f>
        <v/>
      </c>
    </row>
    <row r="27">
      <c r="A27" s="9" t="inlineStr">
        <is>
          <t>S05</t>
        </is>
      </c>
      <c r="B27" s="11" t="inlineStr">
        <is>
          <t>Piso cerâmico assentado com rejunte</t>
        </is>
      </c>
      <c r="C27" s="9" t="inlineStr">
        <is>
          <t>m²</t>
        </is>
      </c>
      <c r="D27" s="9" t="inlineStr">
        <is>
          <t>Mão de obra</t>
        </is>
      </c>
      <c r="E27" s="6" t="inlineStr">
        <is>
          <t>Azulejista</t>
        </is>
      </c>
      <c r="F27" s="9">
        <f>IFERROR(INDEX('Insumos'!$B$5:$B$37,MATCH(E27,'Insumos'!$A$5:$A$37,0)),"?")</f>
        <v/>
      </c>
      <c r="G27" s="31" t="n">
        <v>0.6</v>
      </c>
      <c r="H27" s="30">
        <f>IFERROR(INDEX('Insumos'!$C$5:$C$37,MATCH(E27,'Insumos'!$A$5:$A$37,0)),0)</f>
        <v/>
      </c>
      <c r="I27" s="13">
        <f>G27*H27</f>
        <v/>
      </c>
    </row>
    <row r="28">
      <c r="A28" s="9" t="inlineStr">
        <is>
          <t>S05</t>
        </is>
      </c>
      <c r="B28" s="11" t="inlineStr">
        <is>
          <t>Piso cerâmico assentado com rejunte</t>
        </is>
      </c>
      <c r="C28" s="9" t="inlineStr">
        <is>
          <t>m²</t>
        </is>
      </c>
      <c r="D28" s="9" t="inlineStr">
        <is>
          <t>Mão de obra</t>
        </is>
      </c>
      <c r="E28" s="6" t="inlineStr">
        <is>
          <t>Servente</t>
        </is>
      </c>
      <c r="F28" s="9">
        <f>IFERROR(INDEX('Insumos'!$B$5:$B$37,MATCH(E28,'Insumos'!$A$5:$A$37,0)),"?")</f>
        <v/>
      </c>
      <c r="G28" s="31" t="n">
        <v>0.3</v>
      </c>
      <c r="H28" s="30">
        <f>IFERROR(INDEX('Insumos'!$C$5:$C$37,MATCH(E28,'Insumos'!$A$5:$A$37,0)),0)</f>
        <v/>
      </c>
      <c r="I28" s="13">
        <f>G28*H28</f>
        <v/>
      </c>
    </row>
    <row r="29">
      <c r="A29" s="9" t="inlineStr">
        <is>
          <t>S06</t>
        </is>
      </c>
      <c r="B29" s="11" t="inlineStr">
        <is>
          <t>Pintura acrílica 2 demãos c/ massa</t>
        </is>
      </c>
      <c r="C29" s="9" t="inlineStr">
        <is>
          <t>m²</t>
        </is>
      </c>
      <c r="D29" s="9" t="inlineStr">
        <is>
          <t>Material</t>
        </is>
      </c>
      <c r="E29" s="6" t="inlineStr">
        <is>
          <t>Tinta acrílica 18 L</t>
        </is>
      </c>
      <c r="F29" s="9">
        <f>IFERROR(INDEX('Insumos'!$B$5:$B$37,MATCH(E29,'Insumos'!$A$5:$A$37,0)),"?")</f>
        <v/>
      </c>
      <c r="G29" s="31" t="n">
        <v>0.012</v>
      </c>
      <c r="H29" s="30">
        <f>IFERROR(INDEX('Insumos'!$C$5:$C$37,MATCH(E29,'Insumos'!$A$5:$A$37,0)),0)</f>
        <v/>
      </c>
      <c r="I29" s="13">
        <f>G29*H29</f>
        <v/>
      </c>
    </row>
    <row r="30">
      <c r="A30" s="9" t="inlineStr">
        <is>
          <t>S06</t>
        </is>
      </c>
      <c r="B30" s="11" t="inlineStr">
        <is>
          <t>Pintura acrílica 2 demãos c/ massa</t>
        </is>
      </c>
      <c r="C30" s="9" t="inlineStr">
        <is>
          <t>m²</t>
        </is>
      </c>
      <c r="D30" s="9" t="inlineStr">
        <is>
          <t>Material</t>
        </is>
      </c>
      <c r="E30" s="6" t="inlineStr">
        <is>
          <t>Massa corrida 25 kg</t>
        </is>
      </c>
      <c r="F30" s="9">
        <f>IFERROR(INDEX('Insumos'!$B$5:$B$37,MATCH(E30,'Insumos'!$A$5:$A$37,0)),"?")</f>
        <v/>
      </c>
      <c r="G30" s="31" t="n">
        <v>0.05</v>
      </c>
      <c r="H30" s="30">
        <f>IFERROR(INDEX('Insumos'!$C$5:$C$37,MATCH(E30,'Insumos'!$A$5:$A$37,0)),0)</f>
        <v/>
      </c>
      <c r="I30" s="13">
        <f>G30*H30</f>
        <v/>
      </c>
    </row>
    <row r="31">
      <c r="A31" s="9" t="inlineStr">
        <is>
          <t>S06</t>
        </is>
      </c>
      <c r="B31" s="11" t="inlineStr">
        <is>
          <t>Pintura acrílica 2 demãos c/ massa</t>
        </is>
      </c>
      <c r="C31" s="9" t="inlineStr">
        <is>
          <t>m²</t>
        </is>
      </c>
      <c r="D31" s="9" t="inlineStr">
        <is>
          <t>Material</t>
        </is>
      </c>
      <c r="E31" s="6" t="inlineStr">
        <is>
          <t>Selador acrílico 18 L</t>
        </is>
      </c>
      <c r="F31" s="9">
        <f>IFERROR(INDEX('Insumos'!$B$5:$B$37,MATCH(E31,'Insumos'!$A$5:$A$37,0)),"?")</f>
        <v/>
      </c>
      <c r="G31" s="31" t="n">
        <v>0.006</v>
      </c>
      <c r="H31" s="30">
        <f>IFERROR(INDEX('Insumos'!$C$5:$C$37,MATCH(E31,'Insumos'!$A$5:$A$37,0)),0)</f>
        <v/>
      </c>
      <c r="I31" s="13">
        <f>G31*H31</f>
        <v/>
      </c>
    </row>
    <row r="32">
      <c r="A32" s="9" t="inlineStr">
        <is>
          <t>S06</t>
        </is>
      </c>
      <c r="B32" s="11" t="inlineStr">
        <is>
          <t>Pintura acrílica 2 demãos c/ massa</t>
        </is>
      </c>
      <c r="C32" s="9" t="inlineStr">
        <is>
          <t>m²</t>
        </is>
      </c>
      <c r="D32" s="9" t="inlineStr">
        <is>
          <t>Material</t>
        </is>
      </c>
      <c r="E32" s="6" t="inlineStr">
        <is>
          <t>Lixa</t>
        </is>
      </c>
      <c r="F32" s="9">
        <f>IFERROR(INDEX('Insumos'!$B$5:$B$37,MATCH(E32,'Insumos'!$A$5:$A$37,0)),"?")</f>
        <v/>
      </c>
      <c r="G32" s="31" t="n">
        <v>0.2</v>
      </c>
      <c r="H32" s="30">
        <f>IFERROR(INDEX('Insumos'!$C$5:$C$37,MATCH(E32,'Insumos'!$A$5:$A$37,0)),0)</f>
        <v/>
      </c>
      <c r="I32" s="13">
        <f>G32*H32</f>
        <v/>
      </c>
    </row>
    <row r="33">
      <c r="A33" s="9" t="inlineStr">
        <is>
          <t>S06</t>
        </is>
      </c>
      <c r="B33" s="11" t="inlineStr">
        <is>
          <t>Pintura acrílica 2 demãos c/ massa</t>
        </is>
      </c>
      <c r="C33" s="9" t="inlineStr">
        <is>
          <t>m²</t>
        </is>
      </c>
      <c r="D33" s="9" t="inlineStr">
        <is>
          <t>Mão de obra</t>
        </is>
      </c>
      <c r="E33" s="6" t="inlineStr">
        <is>
          <t>Pintor</t>
        </is>
      </c>
      <c r="F33" s="9">
        <f>IFERROR(INDEX('Insumos'!$B$5:$B$37,MATCH(E33,'Insumos'!$A$5:$A$37,0)),"?")</f>
        <v/>
      </c>
      <c r="G33" s="31" t="n">
        <v>0.35</v>
      </c>
      <c r="H33" s="30">
        <f>IFERROR(INDEX('Insumos'!$C$5:$C$37,MATCH(E33,'Insumos'!$A$5:$A$37,0)),0)</f>
        <v/>
      </c>
      <c r="I33" s="13">
        <f>G33*H33</f>
        <v/>
      </c>
    </row>
    <row r="34">
      <c r="A34" s="9" t="inlineStr">
        <is>
          <t>S06</t>
        </is>
      </c>
      <c r="B34" s="11" t="inlineStr">
        <is>
          <t>Pintura acrílica 2 demãos c/ massa</t>
        </is>
      </c>
      <c r="C34" s="9" t="inlineStr">
        <is>
          <t>m²</t>
        </is>
      </c>
      <c r="D34" s="9" t="inlineStr">
        <is>
          <t>Mão de obra</t>
        </is>
      </c>
      <c r="E34" s="6" t="inlineStr">
        <is>
          <t>Servente</t>
        </is>
      </c>
      <c r="F34" s="9">
        <f>IFERROR(INDEX('Insumos'!$B$5:$B$37,MATCH(E34,'Insumos'!$A$5:$A$37,0)),"?")</f>
        <v/>
      </c>
      <c r="G34" s="31" t="n">
        <v>0.1</v>
      </c>
      <c r="H34" s="30">
        <f>IFERROR(INDEX('Insumos'!$C$5:$C$37,MATCH(E34,'Insumos'!$A$5:$A$37,0)),0)</f>
        <v/>
      </c>
      <c r="I34" s="13">
        <f>G34*H34</f>
        <v/>
      </c>
    </row>
    <row r="35">
      <c r="A35" s="9" t="inlineStr">
        <is>
          <t>S07</t>
        </is>
      </c>
      <c r="B35" s="11" t="inlineStr">
        <is>
          <t>Ponto de tomada (instalação completa)</t>
        </is>
      </c>
      <c r="C35" s="9" t="inlineStr">
        <is>
          <t>un</t>
        </is>
      </c>
      <c r="D35" s="9" t="inlineStr">
        <is>
          <t>Material</t>
        </is>
      </c>
      <c r="E35" s="6" t="inlineStr">
        <is>
          <t>Fio 2,5 mm²</t>
        </is>
      </c>
      <c r="F35" s="9">
        <f>IFERROR(INDEX('Insumos'!$B$5:$B$37,MATCH(E35,'Insumos'!$A$5:$A$37,0)),"?")</f>
        <v/>
      </c>
      <c r="G35" s="31" t="n">
        <v>8</v>
      </c>
      <c r="H35" s="30">
        <f>IFERROR(INDEX('Insumos'!$C$5:$C$37,MATCH(E35,'Insumos'!$A$5:$A$37,0)),0)</f>
        <v/>
      </c>
      <c r="I35" s="13">
        <f>G35*H35</f>
        <v/>
      </c>
    </row>
    <row r="36">
      <c r="A36" s="9" t="inlineStr">
        <is>
          <t>S07</t>
        </is>
      </c>
      <c r="B36" s="11" t="inlineStr">
        <is>
          <t>Ponto de tomada (instalação completa)</t>
        </is>
      </c>
      <c r="C36" s="9" t="inlineStr">
        <is>
          <t>un</t>
        </is>
      </c>
      <c r="D36" s="9" t="inlineStr">
        <is>
          <t>Material</t>
        </is>
      </c>
      <c r="E36" s="6" t="inlineStr">
        <is>
          <t>Eletroduto corrugado 3/4"</t>
        </is>
      </c>
      <c r="F36" s="9">
        <f>IFERROR(INDEX('Insumos'!$B$5:$B$37,MATCH(E36,'Insumos'!$A$5:$A$37,0)),"?")</f>
        <v/>
      </c>
      <c r="G36" s="31" t="n">
        <v>3</v>
      </c>
      <c r="H36" s="30">
        <f>IFERROR(INDEX('Insumos'!$C$5:$C$37,MATCH(E36,'Insumos'!$A$5:$A$37,0)),0)</f>
        <v/>
      </c>
      <c r="I36" s="13">
        <f>G36*H36</f>
        <v/>
      </c>
    </row>
    <row r="37">
      <c r="A37" s="9" t="inlineStr">
        <is>
          <t>S07</t>
        </is>
      </c>
      <c r="B37" s="11" t="inlineStr">
        <is>
          <t>Ponto de tomada (instalação completa)</t>
        </is>
      </c>
      <c r="C37" s="9" t="inlineStr">
        <is>
          <t>un</t>
        </is>
      </c>
      <c r="D37" s="9" t="inlineStr">
        <is>
          <t>Material</t>
        </is>
      </c>
      <c r="E37" s="6" t="inlineStr">
        <is>
          <t>Caixa 4x2</t>
        </is>
      </c>
      <c r="F37" s="9">
        <f>IFERROR(INDEX('Insumos'!$B$5:$B$37,MATCH(E37,'Insumos'!$A$5:$A$37,0)),"?")</f>
        <v/>
      </c>
      <c r="G37" s="31" t="n">
        <v>1</v>
      </c>
      <c r="H37" s="30">
        <f>IFERROR(INDEX('Insumos'!$C$5:$C$37,MATCH(E37,'Insumos'!$A$5:$A$37,0)),0)</f>
        <v/>
      </c>
      <c r="I37" s="13">
        <f>G37*H37</f>
        <v/>
      </c>
    </row>
    <row r="38">
      <c r="A38" s="9" t="inlineStr">
        <is>
          <t>S07</t>
        </is>
      </c>
      <c r="B38" s="11" t="inlineStr">
        <is>
          <t>Ponto de tomada (instalação completa)</t>
        </is>
      </c>
      <c r="C38" s="9" t="inlineStr">
        <is>
          <t>un</t>
        </is>
      </c>
      <c r="D38" s="9" t="inlineStr">
        <is>
          <t>Material</t>
        </is>
      </c>
      <c r="E38" s="6" t="inlineStr">
        <is>
          <t>Tomada 2P+T</t>
        </is>
      </c>
      <c r="F38" s="9">
        <f>IFERROR(INDEX('Insumos'!$B$5:$B$37,MATCH(E38,'Insumos'!$A$5:$A$37,0)),"?")</f>
        <v/>
      </c>
      <c r="G38" s="31" t="n">
        <v>1</v>
      </c>
      <c r="H38" s="30">
        <f>IFERROR(INDEX('Insumos'!$C$5:$C$37,MATCH(E38,'Insumos'!$A$5:$A$37,0)),0)</f>
        <v/>
      </c>
      <c r="I38" s="13">
        <f>G38*H38</f>
        <v/>
      </c>
    </row>
    <row r="39">
      <c r="A39" s="9" t="inlineStr">
        <is>
          <t>S07</t>
        </is>
      </c>
      <c r="B39" s="11" t="inlineStr">
        <is>
          <t>Ponto de tomada (instalação completa)</t>
        </is>
      </c>
      <c r="C39" s="9" t="inlineStr">
        <is>
          <t>un</t>
        </is>
      </c>
      <c r="D39" s="9" t="inlineStr">
        <is>
          <t>Mão de obra</t>
        </is>
      </c>
      <c r="E39" s="6" t="inlineStr">
        <is>
          <t>Eletricista</t>
        </is>
      </c>
      <c r="F39" s="9">
        <f>IFERROR(INDEX('Insumos'!$B$5:$B$37,MATCH(E39,'Insumos'!$A$5:$A$37,0)),"?")</f>
        <v/>
      </c>
      <c r="G39" s="31" t="n">
        <v>1.2</v>
      </c>
      <c r="H39" s="30">
        <f>IFERROR(INDEX('Insumos'!$C$5:$C$37,MATCH(E39,'Insumos'!$A$5:$A$37,0)),0)</f>
        <v/>
      </c>
      <c r="I39" s="13">
        <f>G39*H39</f>
        <v/>
      </c>
    </row>
    <row r="40">
      <c r="A40" s="9" t="inlineStr">
        <is>
          <t>S07</t>
        </is>
      </c>
      <c r="B40" s="11" t="inlineStr">
        <is>
          <t>Ponto de tomada (instalação completa)</t>
        </is>
      </c>
      <c r="C40" s="9" t="inlineStr">
        <is>
          <t>un</t>
        </is>
      </c>
      <c r="D40" s="9" t="inlineStr">
        <is>
          <t>Mão de obra</t>
        </is>
      </c>
      <c r="E40" s="6" t="inlineStr">
        <is>
          <t>Servente</t>
        </is>
      </c>
      <c r="F40" s="9">
        <f>IFERROR(INDEX('Insumos'!$B$5:$B$37,MATCH(E40,'Insumos'!$A$5:$A$37,0)),"?")</f>
        <v/>
      </c>
      <c r="G40" s="31" t="n">
        <v>0.6</v>
      </c>
      <c r="H40" s="30">
        <f>IFERROR(INDEX('Insumos'!$C$5:$C$37,MATCH(E40,'Insumos'!$A$5:$A$37,0)),0)</f>
        <v/>
      </c>
      <c r="I40" s="13">
        <f>G40*H40</f>
        <v/>
      </c>
    </row>
    <row r="41">
      <c r="A41" s="9" t="inlineStr">
        <is>
          <t>S08</t>
        </is>
      </c>
      <c r="B41" s="11" t="inlineStr">
        <is>
          <t>Troca de telha de fibrocimento</t>
        </is>
      </c>
      <c r="C41" s="9" t="inlineStr">
        <is>
          <t>m²</t>
        </is>
      </c>
      <c r="D41" s="9" t="inlineStr">
        <is>
          <t>Material</t>
        </is>
      </c>
      <c r="E41" s="6" t="inlineStr">
        <is>
          <t>Telha fibrocimento 2,44 x 1,10 m</t>
        </is>
      </c>
      <c r="F41" s="9">
        <f>IFERROR(INDEX('Insumos'!$B$5:$B$37,MATCH(E41,'Insumos'!$A$5:$A$37,0)),"?")</f>
        <v/>
      </c>
      <c r="G41" s="31" t="n">
        <v>0.42</v>
      </c>
      <c r="H41" s="30">
        <f>IFERROR(INDEX('Insumos'!$C$5:$C$37,MATCH(E41,'Insumos'!$A$5:$A$37,0)),0)</f>
        <v/>
      </c>
      <c r="I41" s="13">
        <f>G41*H41</f>
        <v/>
      </c>
    </row>
    <row r="42">
      <c r="A42" s="9" t="inlineStr">
        <is>
          <t>S08</t>
        </is>
      </c>
      <c r="B42" s="11" t="inlineStr">
        <is>
          <t>Troca de telha de fibrocimento</t>
        </is>
      </c>
      <c r="C42" s="9" t="inlineStr">
        <is>
          <t>m²</t>
        </is>
      </c>
      <c r="D42" s="9" t="inlineStr">
        <is>
          <t>Material</t>
        </is>
      </c>
      <c r="E42" s="6" t="inlineStr">
        <is>
          <t>Parafuso p/ telha c/ vedação</t>
        </is>
      </c>
      <c r="F42" s="9">
        <f>IFERROR(INDEX('Insumos'!$B$5:$B$37,MATCH(E42,'Insumos'!$A$5:$A$37,0)),"?")</f>
        <v/>
      </c>
      <c r="G42" s="31" t="n">
        <v>3</v>
      </c>
      <c r="H42" s="30">
        <f>IFERROR(INDEX('Insumos'!$C$5:$C$37,MATCH(E42,'Insumos'!$A$5:$A$37,0)),0)</f>
        <v/>
      </c>
      <c r="I42" s="13">
        <f>G42*H42</f>
        <v/>
      </c>
    </row>
    <row r="43">
      <c r="A43" s="9" t="inlineStr">
        <is>
          <t>S08</t>
        </is>
      </c>
      <c r="B43" s="11" t="inlineStr">
        <is>
          <t>Troca de telha de fibrocimento</t>
        </is>
      </c>
      <c r="C43" s="9" t="inlineStr">
        <is>
          <t>m²</t>
        </is>
      </c>
      <c r="D43" s="9" t="inlineStr">
        <is>
          <t>Mão de obra</t>
        </is>
      </c>
      <c r="E43" s="6" t="inlineStr">
        <is>
          <t>Carpinteiro</t>
        </is>
      </c>
      <c r="F43" s="9">
        <f>IFERROR(INDEX('Insumos'!$B$5:$B$37,MATCH(E43,'Insumos'!$A$5:$A$37,0)),"?")</f>
        <v/>
      </c>
      <c r="G43" s="31" t="n">
        <v>0.3</v>
      </c>
      <c r="H43" s="30">
        <f>IFERROR(INDEX('Insumos'!$C$5:$C$37,MATCH(E43,'Insumos'!$A$5:$A$37,0)),0)</f>
        <v/>
      </c>
      <c r="I43" s="13">
        <f>G43*H43</f>
        <v/>
      </c>
    </row>
    <row r="44">
      <c r="A44" s="9" t="inlineStr">
        <is>
          <t>S08</t>
        </is>
      </c>
      <c r="B44" s="11" t="inlineStr">
        <is>
          <t>Troca de telha de fibrocimento</t>
        </is>
      </c>
      <c r="C44" s="9" t="inlineStr">
        <is>
          <t>m²</t>
        </is>
      </c>
      <c r="D44" s="9" t="inlineStr">
        <is>
          <t>Mão de obra</t>
        </is>
      </c>
      <c r="E44" s="6" t="inlineStr">
        <is>
          <t>Servente</t>
        </is>
      </c>
      <c r="F44" s="9">
        <f>IFERROR(INDEX('Insumos'!$B$5:$B$37,MATCH(E44,'Insumos'!$A$5:$A$37,0)),"?")</f>
        <v/>
      </c>
      <c r="G44" s="31" t="n">
        <v>0.3</v>
      </c>
      <c r="H44" s="30">
        <f>IFERROR(INDEX('Insumos'!$C$5:$C$37,MATCH(E44,'Insumos'!$A$5:$A$37,0)),0)</f>
        <v/>
      </c>
      <c r="I44" s="13">
        <f>G44*H44</f>
        <v/>
      </c>
    </row>
    <row r="45">
      <c r="A45" s="9" t="inlineStr">
        <is>
          <t>S09</t>
        </is>
      </c>
      <c r="B45" s="11" t="inlineStr">
        <is>
          <t>Instalação de assento sanitário</t>
        </is>
      </c>
      <c r="C45" s="9" t="inlineStr">
        <is>
          <t>un</t>
        </is>
      </c>
      <c r="D45" s="9" t="inlineStr">
        <is>
          <t>Material</t>
        </is>
      </c>
      <c r="E45" s="6" t="inlineStr">
        <is>
          <t>Assento sanitário</t>
        </is>
      </c>
      <c r="F45" s="9">
        <f>IFERROR(INDEX('Insumos'!$B$5:$B$37,MATCH(E45,'Insumos'!$A$5:$A$37,0)),"?")</f>
        <v/>
      </c>
      <c r="G45" s="31" t="n">
        <v>1</v>
      </c>
      <c r="H45" s="30">
        <f>IFERROR(INDEX('Insumos'!$C$5:$C$37,MATCH(E45,'Insumos'!$A$5:$A$37,0)),0)</f>
        <v/>
      </c>
      <c r="I45" s="13">
        <f>G45*H45</f>
        <v/>
      </c>
    </row>
    <row r="46">
      <c r="A46" s="9" t="inlineStr">
        <is>
          <t>S09</t>
        </is>
      </c>
      <c r="B46" s="11" t="inlineStr">
        <is>
          <t>Instalação de assento sanitário</t>
        </is>
      </c>
      <c r="C46" s="9" t="inlineStr">
        <is>
          <t>un</t>
        </is>
      </c>
      <c r="D46" s="9" t="inlineStr">
        <is>
          <t>Mão de obra</t>
        </is>
      </c>
      <c r="E46" s="6" t="inlineStr">
        <is>
          <t>Encanador</t>
        </is>
      </c>
      <c r="F46" s="9">
        <f>IFERROR(INDEX('Insumos'!$B$5:$B$37,MATCH(E46,'Insumos'!$A$5:$A$37,0)),"?")</f>
        <v/>
      </c>
      <c r="G46" s="31" t="n">
        <v>0.8</v>
      </c>
      <c r="H46" s="30">
        <f>IFERROR(INDEX('Insumos'!$C$5:$C$37,MATCH(E46,'Insumos'!$A$5:$A$37,0)),0)</f>
        <v/>
      </c>
      <c r="I46" s="13">
        <f>G46*H46</f>
        <v/>
      </c>
    </row>
    <row r="47">
      <c r="A47" s="9" t="inlineStr">
        <is>
          <t>S10</t>
        </is>
      </c>
      <c r="B47" s="11" t="inlineStr">
        <is>
          <t>Troca de vidro liso 4 mm</t>
        </is>
      </c>
      <c r="C47" s="9" t="inlineStr">
        <is>
          <t>m²</t>
        </is>
      </c>
      <c r="D47" s="9" t="inlineStr">
        <is>
          <t>Material</t>
        </is>
      </c>
      <c r="E47" s="6" t="inlineStr">
        <is>
          <t>Vidro liso 4 mm</t>
        </is>
      </c>
      <c r="F47" s="9">
        <f>IFERROR(INDEX('Insumos'!$B$5:$B$37,MATCH(E47,'Insumos'!$A$5:$A$37,0)),"?")</f>
        <v/>
      </c>
      <c r="G47" s="31" t="n">
        <v>1.05</v>
      </c>
      <c r="H47" s="30">
        <f>IFERROR(INDEX('Insumos'!$C$5:$C$37,MATCH(E47,'Insumos'!$A$5:$A$37,0)),0)</f>
        <v/>
      </c>
      <c r="I47" s="13">
        <f>G47*H47</f>
        <v/>
      </c>
    </row>
    <row r="48">
      <c r="A48" s="9" t="inlineStr">
        <is>
          <t>S10</t>
        </is>
      </c>
      <c r="B48" s="11" t="inlineStr">
        <is>
          <t>Troca de vidro liso 4 mm</t>
        </is>
      </c>
      <c r="C48" s="9" t="inlineStr">
        <is>
          <t>m²</t>
        </is>
      </c>
      <c r="D48" s="9" t="inlineStr">
        <is>
          <t>Material</t>
        </is>
      </c>
      <c r="E48" s="6" t="inlineStr">
        <is>
          <t>Massa de vidraceiro</t>
        </is>
      </c>
      <c r="F48" s="9">
        <f>IFERROR(INDEX('Insumos'!$B$5:$B$37,MATCH(E48,'Insumos'!$A$5:$A$37,0)),"?")</f>
        <v/>
      </c>
      <c r="G48" s="31" t="n">
        <v>0.3</v>
      </c>
      <c r="H48" s="30">
        <f>IFERROR(INDEX('Insumos'!$C$5:$C$37,MATCH(E48,'Insumos'!$A$5:$A$37,0)),0)</f>
        <v/>
      </c>
      <c r="I48" s="13">
        <f>G48*H48</f>
        <v/>
      </c>
    </row>
    <row r="49">
      <c r="A49" s="9" t="inlineStr">
        <is>
          <t>S10</t>
        </is>
      </c>
      <c r="B49" s="11" t="inlineStr">
        <is>
          <t>Troca de vidro liso 4 mm</t>
        </is>
      </c>
      <c r="C49" s="9" t="inlineStr">
        <is>
          <t>m²</t>
        </is>
      </c>
      <c r="D49" s="9" t="inlineStr">
        <is>
          <t>Mão de obra</t>
        </is>
      </c>
      <c r="E49" s="6" t="inlineStr">
        <is>
          <t>Vidraceiro</t>
        </is>
      </c>
      <c r="F49" s="9">
        <f>IFERROR(INDEX('Insumos'!$B$5:$B$37,MATCH(E49,'Insumos'!$A$5:$A$37,0)),"?")</f>
        <v/>
      </c>
      <c r="G49" s="31" t="n">
        <v>0.8</v>
      </c>
      <c r="H49" s="30">
        <f>IFERROR(INDEX('Insumos'!$C$5:$C$37,MATCH(E49,'Insumos'!$A$5:$A$37,0)),0)</f>
        <v/>
      </c>
      <c r="I49" s="13">
        <f>G49*H49</f>
        <v/>
      </c>
    </row>
  </sheetData>
  <dataValidations count="2">
    <dataValidation sqref="D5:D110" showDropDown="0" showInputMessage="0" showErrorMessage="0" allowBlank="1" type="list">
      <formula1>"Material,Mão de obra"</formula1>
    </dataValidation>
    <dataValidation sqref="E5:E110" showDropDown="0" showInputMessage="0" showErrorMessage="0" allowBlank="1" type="list">
      <formula1>='Insumos'!$A$5:$A$37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72A4D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8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Serviços — custo e preço de venda</t>
        </is>
      </c>
    </row>
    <row r="2">
      <c r="A2" s="2" t="inlineStr">
        <is>
          <t>Tudo calculado a partir das composições e do BDI</t>
        </is>
      </c>
    </row>
    <row r="4" ht="30" customHeight="1">
      <c r="A4" s="8" t="inlineStr">
        <is>
          <t>Código</t>
        </is>
      </c>
      <c r="B4" s="8" t="inlineStr">
        <is>
          <t>Serviço</t>
        </is>
      </c>
      <c r="C4" s="8" t="inlineStr">
        <is>
          <t>Unid.</t>
        </is>
      </c>
      <c r="D4" s="8" t="inlineStr">
        <is>
          <t>Material (R$)</t>
        </is>
      </c>
      <c r="E4" s="8" t="inlineStr">
        <is>
          <t>Mão de obra (R$)</t>
        </is>
      </c>
      <c r="F4" s="8" t="inlineStr">
        <is>
          <t>Custo direto (R$)</t>
        </is>
      </c>
      <c r="G4" s="8" t="inlineStr">
        <is>
          <t>Preço c/ BDI (R$)</t>
        </is>
      </c>
    </row>
    <row r="5">
      <c r="A5" s="10" t="inlineStr">
        <is>
          <t>S01</t>
        </is>
      </c>
      <c r="B5" s="11" t="inlineStr">
        <is>
          <t>Alvenaria de bloco cerâmico 14 cm</t>
        </is>
      </c>
      <c r="C5" s="9" t="inlineStr">
        <is>
          <t>m²</t>
        </is>
      </c>
      <c r="D5" s="13">
        <f>SUMIFS('Composições'!$I$5:$I$110,'Composições'!$A$5:$A$110,A5,'Composições'!$D$5:$D$110,"Material")</f>
        <v/>
      </c>
      <c r="E5" s="13">
        <f>SUMIFS('Composições'!$I$5:$I$110,'Composições'!$A$5:$A$110,A5,'Composições'!$D$5:$D$110,"Mão de obra")</f>
        <v/>
      </c>
      <c r="F5" s="14">
        <f>D5+E5</f>
        <v/>
      </c>
      <c r="G5" s="32">
        <f>F5*(1+'Parâmetros'!$B$31)</f>
        <v/>
      </c>
    </row>
    <row r="6">
      <c r="A6" s="10" t="inlineStr">
        <is>
          <t>S02</t>
        </is>
      </c>
      <c r="B6" s="11" t="inlineStr">
        <is>
          <t>Chapisco em parede</t>
        </is>
      </c>
      <c r="C6" s="9" t="inlineStr">
        <is>
          <t>m²</t>
        </is>
      </c>
      <c r="D6" s="13">
        <f>SUMIFS('Composições'!$I$5:$I$110,'Composições'!$A$5:$A$110,A6,'Composições'!$D$5:$D$110,"Material")</f>
        <v/>
      </c>
      <c r="E6" s="13">
        <f>SUMIFS('Composições'!$I$5:$I$110,'Composições'!$A$5:$A$110,A6,'Composições'!$D$5:$D$110,"Mão de obra")</f>
        <v/>
      </c>
      <c r="F6" s="14">
        <f>D6+E6</f>
        <v/>
      </c>
      <c r="G6" s="32">
        <f>F6*(1+'Parâmetros'!$B$31)</f>
        <v/>
      </c>
    </row>
    <row r="7">
      <c r="A7" s="10" t="inlineStr">
        <is>
          <t>S03</t>
        </is>
      </c>
      <c r="B7" s="11" t="inlineStr">
        <is>
          <t>Reboco / emboço 2 cm</t>
        </is>
      </c>
      <c r="C7" s="9" t="inlineStr">
        <is>
          <t>m²</t>
        </is>
      </c>
      <c r="D7" s="13">
        <f>SUMIFS('Composições'!$I$5:$I$110,'Composições'!$A$5:$A$110,A7,'Composições'!$D$5:$D$110,"Material")</f>
        <v/>
      </c>
      <c r="E7" s="13">
        <f>SUMIFS('Composições'!$I$5:$I$110,'Composições'!$A$5:$A$110,A7,'Composições'!$D$5:$D$110,"Mão de obra")</f>
        <v/>
      </c>
      <c r="F7" s="14">
        <f>D7+E7</f>
        <v/>
      </c>
      <c r="G7" s="32">
        <f>F7*(1+'Parâmetros'!$B$31)</f>
        <v/>
      </c>
    </row>
    <row r="8">
      <c r="A8" s="10" t="inlineStr">
        <is>
          <t>S04</t>
        </is>
      </c>
      <c r="B8" s="11" t="inlineStr">
        <is>
          <t>Contrapiso 5 cm</t>
        </is>
      </c>
      <c r="C8" s="9" t="inlineStr">
        <is>
          <t>m²</t>
        </is>
      </c>
      <c r="D8" s="13">
        <f>SUMIFS('Composições'!$I$5:$I$110,'Composições'!$A$5:$A$110,A8,'Composições'!$D$5:$D$110,"Material")</f>
        <v/>
      </c>
      <c r="E8" s="13">
        <f>SUMIFS('Composições'!$I$5:$I$110,'Composições'!$A$5:$A$110,A8,'Composições'!$D$5:$D$110,"Mão de obra")</f>
        <v/>
      </c>
      <c r="F8" s="14">
        <f>D8+E8</f>
        <v/>
      </c>
      <c r="G8" s="32">
        <f>F8*(1+'Parâmetros'!$B$31)</f>
        <v/>
      </c>
    </row>
    <row r="9">
      <c r="A9" s="10" t="inlineStr">
        <is>
          <t>S05</t>
        </is>
      </c>
      <c r="B9" s="11" t="inlineStr">
        <is>
          <t>Piso cerâmico assentado com rejunte</t>
        </is>
      </c>
      <c r="C9" s="9" t="inlineStr">
        <is>
          <t>m²</t>
        </is>
      </c>
      <c r="D9" s="13">
        <f>SUMIFS('Composições'!$I$5:$I$110,'Composições'!$A$5:$A$110,A9,'Composições'!$D$5:$D$110,"Material")</f>
        <v/>
      </c>
      <c r="E9" s="13">
        <f>SUMIFS('Composições'!$I$5:$I$110,'Composições'!$A$5:$A$110,A9,'Composições'!$D$5:$D$110,"Mão de obra")</f>
        <v/>
      </c>
      <c r="F9" s="14">
        <f>D9+E9</f>
        <v/>
      </c>
      <c r="G9" s="32">
        <f>F9*(1+'Parâmetros'!$B$31)</f>
        <v/>
      </c>
    </row>
    <row r="10">
      <c r="A10" s="10" t="inlineStr">
        <is>
          <t>S06</t>
        </is>
      </c>
      <c r="B10" s="11" t="inlineStr">
        <is>
          <t>Pintura acrílica 2 demãos c/ massa</t>
        </is>
      </c>
      <c r="C10" s="9" t="inlineStr">
        <is>
          <t>m²</t>
        </is>
      </c>
      <c r="D10" s="13">
        <f>SUMIFS('Composições'!$I$5:$I$110,'Composições'!$A$5:$A$110,A10,'Composições'!$D$5:$D$110,"Material")</f>
        <v/>
      </c>
      <c r="E10" s="13">
        <f>SUMIFS('Composições'!$I$5:$I$110,'Composições'!$A$5:$A$110,A10,'Composições'!$D$5:$D$110,"Mão de obra")</f>
        <v/>
      </c>
      <c r="F10" s="14">
        <f>D10+E10</f>
        <v/>
      </c>
      <c r="G10" s="32">
        <f>F10*(1+'Parâmetros'!$B$31)</f>
        <v/>
      </c>
    </row>
    <row r="11">
      <c r="A11" s="10" t="inlineStr">
        <is>
          <t>S07</t>
        </is>
      </c>
      <c r="B11" s="11" t="inlineStr">
        <is>
          <t>Ponto de tomada (instalação completa)</t>
        </is>
      </c>
      <c r="C11" s="9" t="inlineStr">
        <is>
          <t>un</t>
        </is>
      </c>
      <c r="D11" s="13">
        <f>SUMIFS('Composições'!$I$5:$I$110,'Composições'!$A$5:$A$110,A11,'Composições'!$D$5:$D$110,"Material")</f>
        <v/>
      </c>
      <c r="E11" s="13">
        <f>SUMIFS('Composições'!$I$5:$I$110,'Composições'!$A$5:$A$110,A11,'Composições'!$D$5:$D$110,"Mão de obra")</f>
        <v/>
      </c>
      <c r="F11" s="14">
        <f>D11+E11</f>
        <v/>
      </c>
      <c r="G11" s="32">
        <f>F11*(1+'Parâmetros'!$B$31)</f>
        <v/>
      </c>
    </row>
    <row r="12">
      <c r="A12" s="10" t="inlineStr">
        <is>
          <t>S08</t>
        </is>
      </c>
      <c r="B12" s="11" t="inlineStr">
        <is>
          <t>Troca de telha de fibrocimento</t>
        </is>
      </c>
      <c r="C12" s="9" t="inlineStr">
        <is>
          <t>m²</t>
        </is>
      </c>
      <c r="D12" s="13">
        <f>SUMIFS('Composições'!$I$5:$I$110,'Composições'!$A$5:$A$110,A12,'Composições'!$D$5:$D$110,"Material")</f>
        <v/>
      </c>
      <c r="E12" s="13">
        <f>SUMIFS('Composições'!$I$5:$I$110,'Composições'!$A$5:$A$110,A12,'Composições'!$D$5:$D$110,"Mão de obra")</f>
        <v/>
      </c>
      <c r="F12" s="14">
        <f>D12+E12</f>
        <v/>
      </c>
      <c r="G12" s="32">
        <f>F12*(1+'Parâmetros'!$B$31)</f>
        <v/>
      </c>
    </row>
    <row r="13">
      <c r="A13" s="10" t="inlineStr">
        <is>
          <t>S09</t>
        </is>
      </c>
      <c r="B13" s="11" t="inlineStr">
        <is>
          <t>Instalação de assento sanitário</t>
        </is>
      </c>
      <c r="C13" s="9" t="inlineStr">
        <is>
          <t>un</t>
        </is>
      </c>
      <c r="D13" s="13">
        <f>SUMIFS('Composições'!$I$5:$I$110,'Composições'!$A$5:$A$110,A13,'Composições'!$D$5:$D$110,"Material")</f>
        <v/>
      </c>
      <c r="E13" s="13">
        <f>SUMIFS('Composições'!$I$5:$I$110,'Composições'!$A$5:$A$110,A13,'Composições'!$D$5:$D$110,"Mão de obra")</f>
        <v/>
      </c>
      <c r="F13" s="14">
        <f>D13+E13</f>
        <v/>
      </c>
      <c r="G13" s="32">
        <f>F13*(1+'Parâmetros'!$B$31)</f>
        <v/>
      </c>
    </row>
    <row r="14">
      <c r="A14" s="10" t="inlineStr">
        <is>
          <t>S10</t>
        </is>
      </c>
      <c r="B14" s="11" t="inlineStr">
        <is>
          <t>Troca de vidro liso 4 mm</t>
        </is>
      </c>
      <c r="C14" s="9" t="inlineStr">
        <is>
          <t>m²</t>
        </is>
      </c>
      <c r="D14" s="13">
        <f>SUMIFS('Composições'!$I$5:$I$110,'Composições'!$A$5:$A$110,A14,'Composições'!$D$5:$D$110,"Material")</f>
        <v/>
      </c>
      <c r="E14" s="13">
        <f>SUMIFS('Composições'!$I$5:$I$110,'Composições'!$A$5:$A$110,A14,'Composições'!$D$5:$D$110,"Mão de obra")</f>
        <v/>
      </c>
      <c r="F14" s="14">
        <f>D14+E14</f>
        <v/>
      </c>
      <c r="G14" s="32">
        <f>F14*(1+'Parâmetros'!$B$31)</f>
        <v/>
      </c>
    </row>
    <row r="16">
      <c r="A16" s="2" t="inlineStr">
        <is>
          <t>Para um serviço novo: crie as linhas em "Composições" com um código novo (ex.: S11) e copie uma linha desta tabela trocando o código e o nome.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72A4D"/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50" customWidth="1" min="3" max="3"/>
  </cols>
  <sheetData>
    <row r="1">
      <c r="A1" s="1" t="inlineStr">
        <is>
          <t>Estimativa rápida por m²</t>
        </is>
      </c>
    </row>
    <row r="2">
      <c r="A2" s="2" t="inlineStr">
        <is>
          <t>Para ter uma ideia do preço antes de detalhar o orçamento</t>
        </is>
      </c>
    </row>
    <row r="4" ht="30" customHeight="1">
      <c r="A4" s="8" t="inlineStr">
        <is>
          <t>Item</t>
        </is>
      </c>
      <c r="B4" s="8" t="inlineStr">
        <is>
          <t>Valor</t>
        </is>
      </c>
      <c r="C4" s="8" t="inlineStr">
        <is>
          <t>Como preencher</t>
        </is>
      </c>
    </row>
    <row r="5">
      <c r="A5" s="11" t="inlineStr">
        <is>
          <t>Tipo de obra</t>
        </is>
      </c>
      <c r="B5" s="10" t="inlineStr">
        <is>
          <t>Construção</t>
        </is>
      </c>
      <c r="C5" s="23" t="inlineStr">
        <is>
          <t>escolha: Construção, Reforma leve, Reforma média ou Reforma pesada</t>
        </is>
      </c>
    </row>
    <row r="6">
      <c r="A6" s="11" t="inlineStr">
        <is>
          <t>Área (m²)</t>
        </is>
      </c>
      <c r="B6" s="12" t="n">
        <v>180</v>
      </c>
      <c r="C6" s="23" t="inlineStr">
        <is>
          <t>área construída ou reformada</t>
        </is>
      </c>
    </row>
    <row r="7">
      <c r="A7" s="11" t="inlineStr">
        <is>
          <t>Custo de referência por m² (R$)</t>
        </is>
      </c>
      <c r="B7" s="17" t="n">
        <v>2200</v>
      </c>
      <c r="C7" s="23" t="inlineStr">
        <is>
          <t>use o CUB-SP do mês (Sinduscon-SP) para o padrão da obra — valor de EXEMPLO</t>
        </is>
      </c>
    </row>
    <row r="8">
      <c r="A8" s="11" t="inlineStr">
        <is>
          <t>Fator do tipo de obra</t>
        </is>
      </c>
      <c r="B8" s="33">
        <f>IF(B5="Construção",1,IF(B5="Reforma leve",0.35,IF(B5="Reforma média",0.6,IF(B5="Reforma pesada",0.85,1))))</f>
        <v/>
      </c>
      <c r="C8" s="23" t="inlineStr">
        <is>
          <t>automático pela escolha acima</t>
        </is>
      </c>
    </row>
    <row r="9">
      <c r="A9" s="11" t="inlineStr">
        <is>
          <t>Ajuste do padrão (%)</t>
        </is>
      </c>
      <c r="B9" s="26" t="n">
        <v>0</v>
      </c>
      <c r="C9" s="23" t="inlineStr">
        <is>
          <t>ex.: +10% para acabamento melhor, −10% para mais simples</t>
        </is>
      </c>
    </row>
    <row r="10">
      <c r="A10" s="24" t="inlineStr">
        <is>
          <t>Custo estimado da obra</t>
        </is>
      </c>
      <c r="B10" s="14">
        <f>B6*B7*B8*(1+B9)</f>
        <v/>
      </c>
      <c r="C10" s="23" t="inlineStr">
        <is>
          <t>área × custo/m² × fator × (1 + ajuste)</t>
        </is>
      </c>
    </row>
    <row r="11">
      <c r="A11" s="11" t="inlineStr">
        <is>
          <t>BDI</t>
        </is>
      </c>
      <c r="B11" s="34">
        <f>'Parâmetros'!$B$31</f>
        <v/>
      </c>
      <c r="C11" s="23" t="inlineStr">
        <is>
          <t>vem da aba Parâmetros</t>
        </is>
      </c>
    </row>
    <row r="12">
      <c r="A12" s="21" t="inlineStr">
        <is>
          <t>PREÇO ESTIMADO DE VENDA</t>
        </is>
      </c>
      <c r="B12" s="22">
        <f>B10*(1+B11)</f>
        <v/>
      </c>
      <c r="C12" s="23" t="inlineStr">
        <is>
          <t>custo estimado × (1 + BDI)</t>
        </is>
      </c>
    </row>
    <row r="13">
      <c r="A13" s="11" t="inlineStr">
        <is>
          <t>Preço por m²</t>
        </is>
      </c>
      <c r="B13" s="13">
        <f>IF(B6=0,0,B12/B6)</f>
        <v/>
      </c>
      <c r="C13" s="23" t="inlineStr"/>
    </row>
    <row r="15">
      <c r="A15" s="2" t="inlineStr">
        <is>
          <t>Fatores de reforma (0,35 / 0,60 / 0,85) são estimativas de partida — ajuste na fórmula de B8 conforme a sua experiência.</t>
        </is>
      </c>
    </row>
  </sheetData>
  <dataValidations count="1">
    <dataValidation sqref="B5" showDropDown="0" showInputMessage="0" showErrorMessage="0" allowBlank="0" type="list">
      <formula1>"Construção,Reforma leve,Reforma média,Reforma pesada"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2026-09-27T21:55:58Z</dcterms:created>
  <dcterms:modified xsi:type="dcterms:W3CDTF">2026-09-27T21:55:58Z</dcterms:modified>
</cp:coreProperties>
</file>